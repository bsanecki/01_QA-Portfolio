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Overview" sheetId="1" state="visible" r:id="rId3"/>
    <sheet name="Test Cases" sheetId="2" state="visible" r:id="rId4"/>
    <sheet name="Bug Reports" sheetId="3" state="visible" r:id="rId5"/>
  </sheets>
  <definedNames>
    <definedName function="false" hidden="true" localSheetId="1" name="_xlnm._FilterDatabase" vbProcedure="false">'Test Cases'!$A$2:$I$79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<sst xmlns="http://schemas.openxmlformats.org/spreadsheetml/2006/main" count="589" uniqueCount="371">
  <si>
    <t xml:space="preserve">PANDAGO ANDROID APP | MANUAL TEST REPORT</t>
  </si>
  <si>
    <t xml:space="preserve">PROJECT DETAILS</t>
  </si>
  <si>
    <t xml:space="preserve">Project</t>
  </si>
  <si>
    <t xml:space="preserve">Pandago Manual Mobile Testing</t>
  </si>
  <si>
    <t xml:space="preserve">Application</t>
  </si>
  <si>
    <t xml:space="preserve">Pandago (quiz battle game)</t>
  </si>
  <si>
    <t xml:space="preserve">Package</t>
  </si>
  <si>
    <t xml:space="preserve">com.pandago.app</t>
  </si>
  <si>
    <t xml:space="preserve">Google Play</t>
  </si>
  <si>
    <t xml:space="preserve">https://play.google.com/store/apps/details?id=com.pandago.app</t>
  </si>
  <si>
    <t xml:space="preserve">Platform</t>
  </si>
  <si>
    <t xml:space="preserve">Android</t>
  </si>
  <si>
    <t xml:space="preserve">Testing Type</t>
  </si>
  <si>
    <t xml:space="preserve">Manual functional testing</t>
  </si>
  <si>
    <t xml:space="preserve">App Version</t>
  </si>
  <si>
    <t xml:space="preserve">1.6.4</t>
  </si>
  <si>
    <t xml:space="preserve">Test Device / Android</t>
  </si>
  <si>
    <t xml:space="preserve">Motorola Moto G power 5g (2024) – Android 15.0</t>
  </si>
  <si>
    <t xml:space="preserve">Tester</t>
  </si>
  <si>
    <t xml:space="preserve">Bartosz Sanecki</t>
  </si>
  <si>
    <t xml:space="preserve">Test Date</t>
  </si>
  <si>
    <t xml:space="preserve">TEST EXECUTION SUMMARY</t>
  </si>
  <si>
    <t xml:space="preserve">Area</t>
  </si>
  <si>
    <t xml:space="preserve">Total</t>
  </si>
  <si>
    <t xml:space="preserve">Pass</t>
  </si>
  <si>
    <t xml:space="preserve">Fail</t>
  </si>
  <si>
    <t xml:space="preserve">Blocked</t>
  </si>
  <si>
    <t xml:space="preserve">Pass Rate</t>
  </si>
  <si>
    <t xml:space="preserve">Mobile test cases</t>
  </si>
  <si>
    <t xml:space="preserve">PANDAGO MANUAL TEST CASES</t>
  </si>
  <si>
    <t xml:space="preserve">Test Case ID</t>
  </si>
  <si>
    <t xml:space="preserve">Test Area</t>
  </si>
  <si>
    <t xml:space="preserve">Scenario</t>
  </si>
  <si>
    <t xml:space="preserve">Steps</t>
  </si>
  <si>
    <t xml:space="preserve">Expected Result</t>
  </si>
  <si>
    <t xml:space="preserve">Actual Result</t>
  </si>
  <si>
    <t xml:space="preserve">Execution Status</t>
  </si>
  <si>
    <t xml:space="preserve">Related Bug</t>
  </si>
  <si>
    <t xml:space="preserve">Tester Notes</t>
  </si>
  <si>
    <t xml:space="preserve">PAN-001</t>
  </si>
  <si>
    <t xml:space="preserve">Sign-In</t>
  </si>
  <si>
    <t xml:space="preserve">Google sign-in opens account chooser</t>
  </si>
  <si>
    <t xml:space="preserve">1. Launch the app without being logged in
2. Tap the Google sign-in button</t>
  </si>
  <si>
    <t xml:space="preserve">Google account chooser is displayed.</t>
  </si>
  <si>
    <t xml:space="preserve">Matches the expected result.</t>
  </si>
  <si>
    <t xml:space="preserve">PAN-002</t>
  </si>
  <si>
    <t xml:space="preserve">Cancel Google sign-in</t>
  </si>
  <si>
    <t xml:space="preserve">1. Tap the Google sign-in button
2. Close the account chooser (Back)</t>
  </si>
  <si>
    <t xml:space="preserve">User stays on the sign-in screen; an error message may be shown; no crash.</t>
  </si>
  <si>
    <t xml:space="preserve">PAN-003</t>
  </si>
  <si>
    <t xml:space="preserve">Returning user goes straight to Home</t>
  </si>
  <si>
    <t xml:space="preserve">1. Log in with an account that finished onboarding
2. Close and reopen the app</t>
  </si>
  <si>
    <t xml:space="preserve">App opens on the Home screen without asking to sign in again.</t>
  </si>
  <si>
    <t xml:space="preserve">PAN-004</t>
  </si>
  <si>
    <t xml:space="preserve">Offline message</t>
  </si>
  <si>
    <t xml:space="preserve">1. Open the app
2. Turn off Wi-Fi and mobile data
3. Turn the internet back on</t>
  </si>
  <si>
    <t xml:space="preserve">Offline overlay appears after a moment and disappears when the connection is back.</t>
  </si>
  <si>
    <t xml:space="preserve">PAN-005</t>
  </si>
  <si>
    <t xml:space="preserve">Onboarding</t>
  </si>
  <si>
    <t xml:space="preserve">Choose app language</t>
  </si>
  <si>
    <t xml:space="preserve">1. Log in with a new account
2. On step 1 check that Next is disabled
3. Select English and tap Next</t>
  </si>
  <si>
    <t xml:space="preserve">Next is enabled only after choosing a language; following steps are shown in English.</t>
  </si>
  <si>
    <t xml:space="preserve">PAN-006</t>
  </si>
  <si>
    <t xml:space="preserve">Nickname with invalid characters</t>
  </si>
  <si>
    <t xml:space="preserve">1. On the nickname step enter User@#$123
2. Tap Next</t>
  </si>
  <si>
    <t xml:space="preserve">Nickname is rejected with an error message; user stays on the step.</t>
  </si>
  <si>
    <t xml:space="preserve">PAN-007</t>
  </si>
  <si>
    <t xml:space="preserve">Nickname empty or too short</t>
  </si>
  <si>
    <t xml:space="preserve">1. Leave the nickname empty and tap Next
2. Enter a single character and tap Next</t>
  </si>
  <si>
    <t xml:space="preserve">Nickname is rejected with an error message.</t>
  </si>
  <si>
    <t xml:space="preserve">PAN-008</t>
  </si>
  <si>
    <t xml:space="preserve">Nickname already taken</t>
  </si>
  <si>
    <t xml:space="preserve">1. Enter a nickname that already exists
2. Tap Next</t>
  </si>
  <si>
    <t xml:space="preserve">Message that the nickname is taken is shown; user stays on the step.</t>
  </si>
  <si>
    <t xml:space="preserve">PAN-009</t>
  </si>
  <si>
    <t xml:space="preserve">Valid unique nickname</t>
  </si>
  <si>
    <t xml:space="preserve">1. Enter a unique valid nickname
2. Tap Next
3. Tap Back</t>
  </si>
  <si>
    <t xml:space="preserve">User moves to the avatar step; after Back the nickname is still filled in.</t>
  </si>
  <si>
    <t xml:space="preserve">PAN-010</t>
  </si>
  <si>
    <t xml:space="preserve">Avatar selection is required</t>
  </si>
  <si>
    <t xml:space="preserve">1. On the avatar step tap Next without choosing
2. Tap one avatar</t>
  </si>
  <si>
    <t xml:space="preserve">Message asks to choose an avatar; the chosen avatar is highlighted.</t>
  </si>
  <si>
    <t xml:space="preserve">PAN-011</t>
  </si>
  <si>
    <t xml:space="preserve">Age group is required</t>
  </si>
  <si>
    <t xml:space="preserve">1. On the age step tap Next without choosing
2. Select an age group</t>
  </si>
  <si>
    <t xml:space="preserve">Message asks to choose age group; after selection user can continue.</t>
  </si>
  <si>
    <t xml:space="preserve">PAN-012</t>
  </si>
  <si>
    <t xml:space="preserve">Join reasons and 'Inne' field</t>
  </si>
  <si>
    <t xml:space="preserve">1. Tap Next with no reason selected
2. Select two reasons
3. Select 'Inne' and type a text
4. Unselect 'Inne'</t>
  </si>
  <si>
    <t xml:space="preserve">Message appears for no selection; multiple reasons can be chosen; text field shows with 'Inne' and hides after unselecting.</t>
  </si>
  <si>
    <t xml:space="preserve">PAN-013</t>
  </si>
  <si>
    <t xml:space="preserve">Mandatory terms checkboxes</t>
  </si>
  <si>
    <t xml:space="preserve">1. On the last step leave one mandatory checkbox (Terms, Privacy, Age) unchecked
2. Tap Finish
3. Check all three</t>
  </si>
  <si>
    <t xml:space="preserve">Finish is blocked with a message until all mandatory checkboxes are checked.</t>
  </si>
  <si>
    <t xml:space="preserve">PAN-014</t>
  </si>
  <si>
    <t xml:space="preserve">Terms and Privacy link</t>
  </si>
  <si>
    <t xml:space="preserve">1. Tap the Terms / Privacy link on the last step</t>
  </si>
  <si>
    <t xml:space="preserve">Privacy / Terms page opens in the browser.</t>
  </si>
  <si>
    <t xml:space="preserve">PAN-015</t>
  </si>
  <si>
    <t xml:space="preserve">Invalid referral code</t>
  </si>
  <si>
    <t xml:space="preserve">1. Enter Code@#$%^&amp;* in the referral field
2. Enter NOTEXIST99 and tap Finish</t>
  </si>
  <si>
    <t xml:space="preserve">Format error is shown for invalid characters; message that the code does not exist for the unknown code.</t>
  </si>
  <si>
    <t xml:space="preserve">PAN-016</t>
  </si>
  <si>
    <t xml:space="preserve">Valid referral code and finish</t>
  </si>
  <si>
    <t xml:space="preserve">1. Enter a valid referral code of another user
2. Check mandatory checkboxes and tap Finish</t>
  </si>
  <si>
    <t xml:space="preserve">Profile is created and user lands on the Home screen.</t>
  </si>
  <si>
    <t xml:space="preserve">PAN-017</t>
  </si>
  <si>
    <t xml:space="preserve">Navigation</t>
  </si>
  <si>
    <t xml:space="preserve">Bottom navigation tabs</t>
  </si>
  <si>
    <t xml:space="preserve">1. Tap Ranking, Rewards and Profile tabs one by one
2. Return to Home</t>
  </si>
  <si>
    <t xml:space="preserve">Each tab opens the correct screen; the active tab indicator moves.</t>
  </si>
  <si>
    <t xml:space="preserve">PAN-018</t>
  </si>
  <si>
    <t xml:space="preserve">Home</t>
  </si>
  <si>
    <t xml:space="preserve">Open 1v1 Battle</t>
  </si>
  <si>
    <t xml:space="preserve">1. On Home tap the 1v1 Battle card</t>
  </si>
  <si>
    <t xml:space="preserve">Category selection / searching for an opponent starts.</t>
  </si>
  <si>
    <t xml:space="preserve">PAN-019</t>
  </si>
  <si>
    <t xml:space="preserve">Open Friend Mode</t>
  </si>
  <si>
    <t xml:space="preserve">1. On Home tap the Friend Mode card</t>
  </si>
  <si>
    <t xml:space="preserve">Friend selection screen opens.</t>
  </si>
  <si>
    <t xml:space="preserve">PAN-020</t>
  </si>
  <si>
    <t xml:space="preserve">Watch Ad &amp; Earn</t>
  </si>
  <si>
    <t xml:space="preserve">1. Tap Watch Ad &amp; Earn
2. Watch the ad to the end and close it</t>
  </si>
  <si>
    <t xml:space="preserve">20 coins are added and a reward message is shown.</t>
  </si>
  <si>
    <t xml:space="preserve">PAN-021</t>
  </si>
  <si>
    <t xml:space="preserve">Watch Ad &amp; Earn as VIP</t>
  </si>
  <si>
    <t xml:space="preserve">1. Log in on a VIP account
2. Watch the ad to the end</t>
  </si>
  <si>
    <t xml:space="preserve">40 coins are added (double reward).</t>
  </si>
  <si>
    <t xml:space="preserve">PAN-022</t>
  </si>
  <si>
    <t xml:space="preserve">Quiz Battle</t>
  </si>
  <si>
    <t xml:space="preserve">Search for opponent and cancel</t>
  </si>
  <si>
    <t xml:space="preserve">1. Start a 1v1 battle
2. Tap Cancel while searching</t>
  </si>
  <si>
    <t xml:space="preserve">Search screen shows the category and animation; after Cancel user returns to Home.</t>
  </si>
  <si>
    <t xml:space="preserve">PAN-023</t>
  </si>
  <si>
    <t xml:space="preserve">Bot opponent when nobody is found</t>
  </si>
  <si>
    <t xml:space="preserve">1. Start a 1v1 battle at a time with no other players
2. Wait about 15 seconds</t>
  </si>
  <si>
    <t xml:space="preserve">An opponent (bot) is assigned and the game goes to the intro screen.</t>
  </si>
  <si>
    <t xml:space="preserve">PAN-024</t>
  </si>
  <si>
    <t xml:space="preserve">Battle intro countdown</t>
  </si>
  <si>
    <t xml:space="preserve">1. Start a match
2. Watch the intro screen</t>
  </si>
  <si>
    <t xml:space="preserve">Both players' avatars and names are shown; countdown 3-2-1-GO runs; first question follows.</t>
  </si>
  <si>
    <t xml:space="preserve">PAN-025</t>
  </si>
  <si>
    <t xml:space="preserve">Question timer</t>
  </si>
  <si>
    <t xml:space="preserve">1. Open a question
2. Watch the timer for 8 seconds</t>
  </si>
  <si>
    <t xml:space="preserve">Timer counts down from 8 to 0 and changes color near the end.</t>
  </si>
  <si>
    <t xml:space="preserve">PAN-026</t>
  </si>
  <si>
    <t xml:space="preserve">Correct answer</t>
  </si>
  <si>
    <t xml:space="preserve">1. Tap the correct answer</t>
  </si>
  <si>
    <t xml:space="preserve">Answer is marked green and your score increases by 2.</t>
  </si>
  <si>
    <t xml:space="preserve">PAN-027</t>
  </si>
  <si>
    <t xml:space="preserve">Wrong answer and Second Chance</t>
  </si>
  <si>
    <t xml:space="preserve">1. Tap a wrong answer
2. Tap the correct answer</t>
  </si>
  <si>
    <t xml:space="preserve">Wrong answer is marked red and 'Druga szansa' is shown; you can choose again.</t>
  </si>
  <si>
    <t xml:space="preserve">PAN-028</t>
  </si>
  <si>
    <t xml:space="preserve">No answer before timer ends</t>
  </si>
  <si>
    <t xml:space="preserve">1. Open a question
2. Do not tap anything until time is up</t>
  </si>
  <si>
    <t xml:space="preserve">Score does not change and the game moves on.</t>
  </si>
  <si>
    <t xml:space="preserve">PAN-029</t>
  </si>
  <si>
    <t xml:space="preserve">Waiting for opponent</t>
  </si>
  <si>
    <t xml:space="preserve">1. Answer a question before the opponent</t>
  </si>
  <si>
    <t xml:space="preserve">'Waiting for opponent' message is shown until the opponent answers or time ends.</t>
  </si>
  <si>
    <t xml:space="preserve">PAN-030</t>
  </si>
  <si>
    <t xml:space="preserve">Full match has 8 questions</t>
  </si>
  <si>
    <t xml:space="preserve">1. Play a full match</t>
  </si>
  <si>
    <t xml:space="preserve">Progress bar shows steps 1 to 8; after question 8 the result screen is shown.</t>
  </si>
  <si>
    <t xml:space="preserve">PAN-031</t>
  </si>
  <si>
    <t xml:space="preserve">Tie-breaker question</t>
  </si>
  <si>
    <t xml:space="preserve">1. Play a match so that scores are equal after question 8</t>
  </si>
  <si>
    <t xml:space="preserve">A bonus question is shown.</t>
  </si>
  <si>
    <t xml:space="preserve">PAN-032</t>
  </si>
  <si>
    <t xml:space="preserve">Opponent leaves the match</t>
  </si>
  <si>
    <t xml:space="preserve">1. Play with a real opponent
2. Opponent closes the app during the game</t>
  </si>
  <si>
    <t xml:space="preserve">You win immediately and the result screen shows the opponent left.</t>
  </si>
  <si>
    <t xml:space="preserve">PAN-033</t>
  </si>
  <si>
    <t xml:space="preserve">Results</t>
  </si>
  <si>
    <t xml:space="preserve">Win result</t>
  </si>
  <si>
    <t xml:space="preserve">1. Win a ranked match</t>
  </si>
  <si>
    <t xml:space="preserve">'WYGRANA!' screen with +15 trophies and +25 coins is shown; profile shows updated values.</t>
  </si>
  <si>
    <t xml:space="preserve">PAN-034</t>
  </si>
  <si>
    <t xml:space="preserve">Lose result</t>
  </si>
  <si>
    <t xml:space="preserve">1. Lose a ranked match</t>
  </si>
  <si>
    <t xml:space="preserve">'PRZEGRANA!' screen with -10 trophies and +5 coins is shown.</t>
  </si>
  <si>
    <t xml:space="preserve">PAN-035</t>
  </si>
  <si>
    <t xml:space="preserve">Draw result</t>
  </si>
  <si>
    <t xml:space="preserve">1. Finish a ranked match with a draw</t>
  </si>
  <si>
    <t xml:space="preserve">'REMIS!' screen with +5 trophies and +5 coins is shown.</t>
  </si>
  <si>
    <t xml:space="preserve">PAN-036</t>
  </si>
  <si>
    <t xml:space="preserve">Friendly match gives no ranking points</t>
  </si>
  <si>
    <t xml:space="preserve">1. Finish a match played in Friend Mode</t>
  </si>
  <si>
    <t xml:space="preserve">Result screen says there are no ranking points; trophies are not changed.</t>
  </si>
  <si>
    <t xml:space="preserve">PAN-037</t>
  </si>
  <si>
    <t xml:space="preserve">Ad after match (non-VIP vs VIP)</t>
  </si>
  <si>
    <t xml:space="preserve">1. Finish a match on a non-VIP account
2. Finish a match on a VIP account</t>
  </si>
  <si>
    <t xml:space="preserve">Non-VIP sees an ad before the result; VIP sees no ad.</t>
  </si>
  <si>
    <t xml:space="preserve">PAN-038</t>
  </si>
  <si>
    <t xml:space="preserve">Play Again and Menu buttons</t>
  </si>
  <si>
    <t xml:space="preserve">1. On the result screen tap Play Again
2. Finish another match and tap Menu</t>
  </si>
  <si>
    <t xml:space="preserve">Play Again starts a new search; Menu returns to the Home screen.</t>
  </si>
  <si>
    <t xml:space="preserve">PAN-039</t>
  </si>
  <si>
    <t xml:space="preserve">Friend Game</t>
  </si>
  <si>
    <t xml:space="preserve">Friend list and search</t>
  </si>
  <si>
    <t xml:space="preserve">1. Open Friend Mode
2. Type part of a friend's name in the search field
3. Clear the search</t>
  </si>
  <si>
    <t xml:space="preserve">Friends are listed with avatars; list filters while typing and returns after clearing.</t>
  </si>
  <si>
    <t xml:space="preserve">PAN-040</t>
  </si>
  <si>
    <t xml:space="preserve">Send game invitation and cancel</t>
  </si>
  <si>
    <t xml:space="preserve">1. Tap Invite next to a friend
2. Tap Cancel invitation on the waiting screen</t>
  </si>
  <si>
    <t xml:space="preserve">Waiting screen with timer is shown; after cancelling user returns to the friend list.</t>
  </si>
  <si>
    <t xml:space="preserve">PAN-041</t>
  </si>
  <si>
    <t xml:space="preserve">Friend accepts game invitation (2 devices)</t>
  </si>
  <si>
    <t xml:space="preserve">1. Device A invites Device B
2. Device B taps Accept in the popup</t>
  </si>
  <si>
    <t xml:space="preserve">Both devices go to the battle intro and the game starts.</t>
  </si>
  <si>
    <t xml:space="preserve">PAN-042</t>
  </si>
  <si>
    <t xml:space="preserve">Friend declines game invitation (2 devices)</t>
  </si>
  <si>
    <t xml:space="preserve">1. Device A invites Device B
2. Device B taps Decline</t>
  </si>
  <si>
    <t xml:space="preserve">Popup closes on Device B; Device A is informed the invitation was not accepted.</t>
  </si>
  <si>
    <t xml:space="preserve">PAN-043</t>
  </si>
  <si>
    <t xml:space="preserve">Ranking</t>
  </si>
  <si>
    <t xml:space="preserve">Switch Ranking and Friends Hub tabs</t>
  </si>
  <si>
    <t xml:space="preserve">1. Open the Community tab
2. Switch between Ranking and Friends</t>
  </si>
  <si>
    <t xml:space="preserve">Screens change with a smooth transition.</t>
  </si>
  <si>
    <t xml:space="preserve">PAN-044</t>
  </si>
  <si>
    <t xml:space="preserve">World and Friends ranking</t>
  </si>
  <si>
    <t xml:space="preserve">1. In Ranking tap World
2. Tap Friends</t>
  </si>
  <si>
    <t xml:space="preserve">World shows top players; Friends shows only your friends sorted by trophies.</t>
  </si>
  <si>
    <t xml:space="preserve">PAN-045</t>
  </si>
  <si>
    <t xml:space="preserve">Podium and list</t>
  </si>
  <si>
    <t xml:space="preserve">1. Open World ranking
2. Scroll below the podium</t>
  </si>
  <si>
    <t xml:space="preserve">Top 3 are on the podium; the list shows places from 4; your own row is highlighted.</t>
  </si>
  <si>
    <t xml:space="preserve">PAN-046</t>
  </si>
  <si>
    <t xml:space="preserve">Daily reset countdown</t>
  </si>
  <si>
    <t xml:space="preserve">1. Watch the 'New ranking in' timer</t>
  </si>
  <si>
    <t xml:space="preserve">Timer counts down every second to midnight.</t>
  </si>
  <si>
    <t xml:space="preserve">PAN-047</t>
  </si>
  <si>
    <t xml:space="preserve">Open friend profile from ranking</t>
  </si>
  <si>
    <t xml:space="preserve">1. In Friends ranking tap a friend</t>
  </si>
  <si>
    <t xml:space="preserve">Public profile of that friend opens.</t>
  </si>
  <si>
    <t xml:space="preserve">PAN-048</t>
  </si>
  <si>
    <t xml:space="preserve">Friends</t>
  </si>
  <si>
    <t xml:space="preserve">Friends counter</t>
  </si>
  <si>
    <t xml:space="preserve">1. Open the Friends screen</t>
  </si>
  <si>
    <t xml:space="preserve">Number of friends and the X / 20 progress bar match your friend list.</t>
  </si>
  <si>
    <t xml:space="preserve">PAN-049</t>
  </si>
  <si>
    <t xml:space="preserve">Search player and send request</t>
  </si>
  <si>
    <t xml:space="preserve">1. Tap Add friend
2. Search for a nickname
3. Tap Invite</t>
  </si>
  <si>
    <t xml:space="preserve">Search results appear; confirmation is shown and the request appears in Sent invitations.</t>
  </si>
  <si>
    <t xml:space="preserve">PAN-050</t>
  </si>
  <si>
    <t xml:space="preserve">Suggested players</t>
  </si>
  <si>
    <t xml:space="preserve">1. Open Add friend with an empty search field</t>
  </si>
  <si>
    <t xml:space="preserve">'Suggested players' list is shown without your friends and without yourself.</t>
  </si>
  <si>
    <t xml:space="preserve">PAN-051</t>
  </si>
  <si>
    <t xml:space="preserve">Accept friend request (2 devices)</t>
  </si>
  <si>
    <t xml:space="preserve">1. Device A sends a request to Device B
2. Device B opens Received invitations and taps Accept</t>
  </si>
  <si>
    <t xml:space="preserve">Both users appear in each other's friends list.</t>
  </si>
  <si>
    <t xml:space="preserve">PAN-052</t>
  </si>
  <si>
    <t xml:space="preserve">Decline friend request (2 devices)</t>
  </si>
  <si>
    <t xml:space="preserve">1. Device B taps Decline on a received request</t>
  </si>
  <si>
    <t xml:space="preserve">Request disappears and users are not friends.</t>
  </si>
  <si>
    <t xml:space="preserve">PAN-053</t>
  </si>
  <si>
    <t xml:space="preserve">Cancel sent request</t>
  </si>
  <si>
    <t xml:space="preserve">1. Open Sent invitations
2. Cancel a request</t>
  </si>
  <si>
    <t xml:space="preserve">Request is removed from the list and from the other user's received invitations.</t>
  </si>
  <si>
    <t xml:space="preserve">PAN-054</t>
  </si>
  <si>
    <t xml:space="preserve">Referral code copy and share</t>
  </si>
  <si>
    <t xml:space="preserve">1. Open Friends Hub
2. Tap Copy and paste in another app
3. Tap Share</t>
  </si>
  <si>
    <t xml:space="preserve">Code is copied with a confirmation message; the share sheet opens with the referral text.</t>
  </si>
  <si>
    <t xml:space="preserve">PAN-055</t>
  </si>
  <si>
    <t xml:space="preserve">Public profile and remove friend</t>
  </si>
  <si>
    <t xml:space="preserve">1. Open a friend's profile
2. Tap Remove friend
3. Confirm</t>
  </si>
  <si>
    <t xml:space="preserve">Profile shows nickname, avatar and ranking; after confirmation the friend is removed.</t>
  </si>
  <si>
    <t xml:space="preserve">PAN-056</t>
  </si>
  <si>
    <t xml:space="preserve">Profile</t>
  </si>
  <si>
    <t xml:space="preserve">Profile information</t>
  </si>
  <si>
    <t xml:space="preserve">1. Open the Profile tab</t>
  </si>
  <si>
    <t xml:space="preserve">Avatar, nickname, VIP status, coins, join date, country, gender and daily rank are displayed.</t>
  </si>
  <si>
    <t xml:space="preserve">PAN-057</t>
  </si>
  <si>
    <t xml:space="preserve">Change avatar</t>
  </si>
  <si>
    <t xml:space="preserve">1. Tap the avatar
2. Switch category chips
3. Choose an avatar</t>
  </si>
  <si>
    <t xml:space="preserve">Avatars change per category; chosen avatar is saved and shown immediately.</t>
  </si>
  <si>
    <t xml:space="preserve">PAN-058</t>
  </si>
  <si>
    <t xml:space="preserve">Change nickname (invalid / taken / valid)</t>
  </si>
  <si>
    <t xml:space="preserve">1. Tap edit nickname
2. Enter Bad Nick!@#, then a taken nickname, then a unique one
3. Tap Save</t>
  </si>
  <si>
    <t xml:space="preserve">Errors are shown for invalid and taken names; unique nickname is saved.</t>
  </si>
  <si>
    <t xml:space="preserve">PAN-059</t>
  </si>
  <si>
    <t xml:space="preserve">Change country and gender</t>
  </si>
  <si>
    <t xml:space="preserve">1. Tap edit country, search for a country and select it
2. Tap edit gender and select an option</t>
  </si>
  <si>
    <t xml:space="preserve">Country with flag and gender are updated on the profile.</t>
  </si>
  <si>
    <t xml:space="preserve">PAN-060</t>
  </si>
  <si>
    <t xml:space="preserve">Change app language</t>
  </si>
  <si>
    <t xml:space="preserve">1. Tap Language
2. Select English</t>
  </si>
  <si>
    <t xml:space="preserve">App language switches to English and stays after restart.</t>
  </si>
  <si>
    <t xml:space="preserve">PAN-061</t>
  </si>
  <si>
    <t xml:space="preserve">Help &amp; Support opens email</t>
  </si>
  <si>
    <t xml:space="preserve">1. Tap Help &amp; Support</t>
  </si>
  <si>
    <t xml:space="preserve">Email app opens with the support address and subject filled in.</t>
  </si>
  <si>
    <t xml:space="preserve">PAN-062</t>
  </si>
  <si>
    <t xml:space="preserve">Privacy Policy link</t>
  </si>
  <si>
    <t xml:space="preserve">1. Tap Privacy Policy</t>
  </si>
  <si>
    <t xml:space="preserve">Privacy page opens in the browser.</t>
  </si>
  <si>
    <t xml:space="preserve">PAN-063</t>
  </si>
  <si>
    <t xml:space="preserve">Achievements screen</t>
  </si>
  <si>
    <t xml:space="preserve">1. Tap Achievements</t>
  </si>
  <si>
    <t xml:space="preserve">List of achievements with progress is displayed.</t>
  </si>
  <si>
    <t xml:space="preserve">PAN-064</t>
  </si>
  <si>
    <t xml:space="preserve">Logout</t>
  </si>
  <si>
    <t xml:space="preserve">1. Tap Log out</t>
  </si>
  <si>
    <t xml:space="preserve">User is returned to the sign-in screen.</t>
  </si>
  <si>
    <t xml:space="preserve">PAN-065</t>
  </si>
  <si>
    <t xml:space="preserve">Delete account</t>
  </si>
  <si>
    <t xml:space="preserve">1. Tap Delete account
2. Confirm
3. Sign in with Google again</t>
  </si>
  <si>
    <t xml:space="preserve">Re-authentication is required; after it the account is deleted and the sign-in screen is shown.</t>
  </si>
  <si>
    <t xml:space="preserve">PAN-066</t>
  </si>
  <si>
    <t xml:space="preserve">Rewards</t>
  </si>
  <si>
    <t xml:space="preserve">Rewards locked</t>
  </si>
  <si>
    <t xml:space="preserve">1. Open Rewards on an account with fewer than 50 games or 25 ads</t>
  </si>
  <si>
    <t xml:space="preserve">Rewards are locked and the requirements are shown.</t>
  </si>
  <si>
    <t xml:space="preserve">PAN-067</t>
  </si>
  <si>
    <t xml:space="preserve">Rewards store view</t>
  </si>
  <si>
    <t xml:space="preserve">1. Open Rewards on an unlocked account</t>
  </si>
  <si>
    <t xml:space="preserve">Coin balance and 8 gift cards are displayed.</t>
  </si>
  <si>
    <t xml:space="preserve">PAN-068</t>
  </si>
  <si>
    <t xml:space="preserve">Claim form validation</t>
  </si>
  <si>
    <t xml:space="preserve">1. Select a gift card
2. Enter an invalid email
3. Enter different emails in the two fields
4. Leave policy checkboxes unchecked</t>
  </si>
  <si>
    <t xml:space="preserve">Errors are shown for invalid email, non-matching emails and missing checkboxes; claim is blocked.</t>
  </si>
  <si>
    <t xml:space="preserve">PAN-069</t>
  </si>
  <si>
    <t xml:space="preserve">Claim gift card</t>
  </si>
  <si>
    <t xml:space="preserve">1. Select a gift card you can afford
2. Fill in the form correctly and confirm</t>
  </si>
  <si>
    <t xml:space="preserve">Success message is shown and the card price is deducted from coins.</t>
  </si>
  <si>
    <t xml:space="preserve">PAN-070</t>
  </si>
  <si>
    <t xml:space="preserve">Not enough coins</t>
  </si>
  <si>
    <t xml:space="preserve">1. Select a gift card that costs more than your balance</t>
  </si>
  <si>
    <t xml:space="preserve">Claim is not possible and a message about missing coins is shown.</t>
  </si>
  <si>
    <t xml:space="preserve">PAN-071</t>
  </si>
  <si>
    <t xml:space="preserve">Lucky Wheel</t>
  </si>
  <si>
    <t xml:space="preserve">Spin the wheel</t>
  </si>
  <si>
    <t xml:space="preserve">1. Open Lucky Wheel
2. Tap Spin</t>
  </si>
  <si>
    <t xml:space="preserve">Wheel rotates, stops on one of 8 prizes and the prize is added.</t>
  </si>
  <si>
    <t xml:space="preserve">PAN-072</t>
  </si>
  <si>
    <t xml:space="preserve">24-hour cooldown</t>
  </si>
  <si>
    <t xml:space="preserve">1. Spin the wheel
2. Open the wheel again</t>
  </si>
  <si>
    <t xml:space="preserve">Spin is unavailable and a countdown to the next spin is shown.</t>
  </si>
  <si>
    <t xml:space="preserve">PAN-073</t>
  </si>
  <si>
    <t xml:space="preserve">VIP double prize</t>
  </si>
  <si>
    <t xml:space="preserve">1. Spin the wheel on a VIP account</t>
  </si>
  <si>
    <t xml:space="preserve">Prize is doubled.</t>
  </si>
  <si>
    <t xml:space="preserve">PAN-074</t>
  </si>
  <si>
    <t xml:space="preserve">Daily Tasks</t>
  </si>
  <si>
    <t xml:space="preserve">Daily and lifetime tasks list</t>
  </si>
  <si>
    <t xml:space="preserve">1. Open Daily Tasks</t>
  </si>
  <si>
    <t xml:space="preserve">Daily tasks (login, play 1 / 10 / 40, win 15) and lifetime tasks (referrals, ads, Instagram, TikTok, rate app) are listed with progress.</t>
  </si>
  <si>
    <t xml:space="preserve">PAN-075</t>
  </si>
  <si>
    <t xml:space="preserve">Claim task reward</t>
  </si>
  <si>
    <t xml:space="preserve">1. Complete a daily task
2. Tap Claim</t>
  </si>
  <si>
    <t xml:space="preserve">Coins are added and the task is marked as claimed.</t>
  </si>
  <si>
    <t xml:space="preserve">PAN-076</t>
  </si>
  <si>
    <t xml:space="preserve">VIP</t>
  </si>
  <si>
    <t xml:space="preserve">VIP shop screen</t>
  </si>
  <si>
    <t xml:space="preserve">1. Open the VIP shop</t>
  </si>
  <si>
    <t xml:space="preserve">Benefits and the monthly subscription price are displayed.</t>
  </si>
  <si>
    <t xml:space="preserve">PAN-077</t>
  </si>
  <si>
    <t xml:space="preserve">Buy VIP subscription</t>
  </si>
  <si>
    <t xml:space="preserve">1. Tap Subscribe
2. Complete the Google Play purchase (test account)</t>
  </si>
  <si>
    <t xml:space="preserve">VIP status is active in Profile and ads are no longer shown.</t>
  </si>
  <si>
    <t xml:space="preserve">BUG REPORTS</t>
  </si>
  <si>
    <t xml:space="preserve">Bug ID</t>
  </si>
  <si>
    <t xml:space="preserve">Bug Title</t>
  </si>
  <si>
    <t xml:space="preserve">Related Test Case</t>
  </si>
  <si>
    <t xml:space="preserve">Severity</t>
  </si>
  <si>
    <t xml:space="preserve">Priority</t>
  </si>
  <si>
    <t xml:space="preserve">Status</t>
  </si>
  <si>
    <t xml:space="preserve">Steps to Reproduce</t>
  </si>
  <si>
    <t xml:space="preserve">Evidence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</si>
</sst>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m/yyyy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4"/>
        <bgColor rgb="FFF3F6FB"/>
      </patternFill>
    </fill>
    <fill>
      <patternFill patternType="solid">
        <fgColor rgb="FFF3F6FB"/>
        <bgColor rgb="FFFFFFFF"/>
      </patternFill>
    </fill>
    <fill>
      <patternFill patternType="solid">
        <fgColor rgb="FF2F5597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6FB"/>
      <rgbColor rgb="FFDCE6F4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6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</row>
    <row r="5" customFormat="false" ht="1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1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15" hidden="false" customHeight="true" outlineLevel="0" collapsed="false">
      <c r="A7" s="4" t="s">
        <v>8</v>
      </c>
      <c r="B7" s="6" t="s">
        <v>9</v>
      </c>
      <c r="C7" s="6"/>
      <c r="D7" s="6"/>
      <c r="E7" s="6"/>
      <c r="F7" s="6"/>
    </row>
    <row r="8" customFormat="false" ht="1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15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</row>
    <row r="10" customFormat="false" ht="15" hidden="false" customHeight="true" outlineLevel="0" collapsed="false">
      <c r="A10" s="4" t="s">
        <v>14</v>
      </c>
      <c r="B10" s="7" t="s">
        <v>15</v>
      </c>
      <c r="C10" s="7"/>
      <c r="D10" s="7"/>
      <c r="E10" s="7"/>
      <c r="F10" s="7"/>
    </row>
    <row r="11" customFormat="false" ht="15" hidden="false" customHeight="true" outlineLevel="0" collapsed="false">
      <c r="A11" s="4" t="s">
        <v>16</v>
      </c>
      <c r="B11" s="5" t="s">
        <v>17</v>
      </c>
      <c r="C11" s="5"/>
      <c r="D11" s="5"/>
      <c r="E11" s="5"/>
      <c r="F11" s="5"/>
    </row>
    <row r="12" customFormat="false" ht="15" hidden="false" customHeight="true" outlineLevel="0" collapsed="false">
      <c r="A12" s="4" t="s">
        <v>18</v>
      </c>
      <c r="B12" s="5" t="s">
        <v>19</v>
      </c>
      <c r="C12" s="5"/>
      <c r="D12" s="5"/>
      <c r="E12" s="5"/>
      <c r="F12" s="5"/>
    </row>
    <row r="13" customFormat="false" ht="15" hidden="false" customHeight="true" outlineLevel="0" collapsed="false">
      <c r="A13" s="4" t="s">
        <v>20</v>
      </c>
      <c r="B13" s="8" t="n">
        <v>46315</v>
      </c>
      <c r="C13" s="8"/>
      <c r="D13" s="8"/>
      <c r="E13" s="8"/>
      <c r="F13" s="8"/>
    </row>
    <row r="15" customFormat="false" ht="15" hidden="false" customHeight="true" outlineLevel="0" collapsed="false">
      <c r="A15" s="3" t="s">
        <v>21</v>
      </c>
      <c r="B15" s="3"/>
      <c r="C15" s="3"/>
      <c r="D15" s="3"/>
      <c r="E15" s="3"/>
      <c r="F15" s="3"/>
    </row>
    <row r="16" customFormat="false" ht="15" hidden="false" customHeight="true" outlineLevel="0" collapsed="false">
      <c r="A16" s="9" t="s">
        <v>22</v>
      </c>
      <c r="B16" s="9" t="s">
        <v>23</v>
      </c>
      <c r="C16" s="9" t="s">
        <v>24</v>
      </c>
      <c r="D16" s="9" t="s">
        <v>25</v>
      </c>
      <c r="E16" s="9" t="s">
        <v>26</v>
      </c>
      <c r="F16" s="9" t="s">
        <v>27</v>
      </c>
    </row>
    <row r="17" customFormat="false" ht="15" hidden="false" customHeight="true" outlineLevel="0" collapsed="false">
      <c r="A17" s="10" t="s">
        <v>28</v>
      </c>
      <c r="B17" s="11" t="n">
        <f aca="false">COUNTA('Test Cases'!A3:A79)</f>
        <v>77</v>
      </c>
      <c r="C17" s="11" t="n">
        <f aca="false">COUNTIF('Test Cases'!G3:G79,"Pass")</f>
        <v>77</v>
      </c>
      <c r="D17" s="11" t="n">
        <f aca="false">COUNTIF('Test Cases'!G3:G79,"Fail")</f>
        <v>0</v>
      </c>
      <c r="E17" s="11" t="n">
        <f aca="false">COUNTIF('Test Cases'!G3:G79,"Blocked")</f>
        <v>0</v>
      </c>
      <c r="F17" s="12" t="n">
        <f aca="false">IF(B17=0,0,C17/B17)</f>
        <v>1</v>
      </c>
    </row>
    <row r="19" customFormat="false" ht="15" hidden="false" customHeight="true" outlineLevel="0" collapsed="false">
      <c r="A19" s="13" t="str">
        <f aca="false">"Not Run: "&amp;COUNTIF('Test Cases'!G3:G79,"Not Run")&amp;"   |   Bugs reported: "&amp;COUNTA('Bug Reports'!A3:A12)</f>
        <v>Not Run: 0   |   Bugs reported: 0</v>
      </c>
      <c r="B19" s="13"/>
      <c r="C19" s="13"/>
      <c r="D19" s="13"/>
      <c r="E19" s="13"/>
      <c r="F19" s="13"/>
    </row>
  </sheetData>
  <mergeCells count="14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9" activePane="bottomRight" state="frozen"/>
      <selection pane="topLeft" activeCell="A1" activeCellId="0" sqref="A1"/>
      <selection pane="topRight" activeCell="D1" activeCellId="0" sqref="D1"/>
      <selection pane="bottomLeft" activeCell="A39" activeCellId="0" sqref="A39"/>
      <selection pane="bottomRight" activeCell="G18" activeCellId="0" sqref="G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52"/>
    <col collapsed="false" customWidth="true" hidden="false" outlineLevel="0" max="5" min="5" style="1" width="44"/>
    <col collapsed="false" customWidth="true" hidden="false" outlineLevel="0" max="6" min="6" style="1" width="34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30"/>
  </cols>
  <sheetData>
    <row r="1" customFormat="false" ht="30" hidden="false" customHeight="true" outlineLevel="0" collapsed="false">
      <c r="A1" s="14" t="s">
        <v>29</v>
      </c>
      <c r="B1" s="14"/>
      <c r="C1" s="14"/>
      <c r="D1" s="14"/>
      <c r="E1" s="14"/>
      <c r="F1" s="14"/>
      <c r="G1" s="14"/>
      <c r="H1" s="14"/>
      <c r="I1" s="14"/>
    </row>
    <row r="2" customFormat="false" ht="23.25" hidden="false" customHeight="true" outlineLevel="0" collapsed="false">
      <c r="A2" s="15" t="s">
        <v>30</v>
      </c>
      <c r="B2" s="15" t="s">
        <v>31</v>
      </c>
      <c r="C2" s="15" t="s">
        <v>32</v>
      </c>
      <c r="D2" s="15" t="s">
        <v>33</v>
      </c>
      <c r="E2" s="15" t="s">
        <v>34</v>
      </c>
      <c r="F2" s="15" t="s">
        <v>35</v>
      </c>
      <c r="G2" s="15" t="s">
        <v>36</v>
      </c>
      <c r="H2" s="15" t="s">
        <v>37</v>
      </c>
      <c r="I2" s="15" t="s">
        <v>38</v>
      </c>
    </row>
    <row r="3" customFormat="false" ht="23.25" hidden="false" customHeight="true" outlineLevel="0" collapsed="false">
      <c r="A3" s="16" t="s">
        <v>39</v>
      </c>
      <c r="B3" s="17" t="s">
        <v>40</v>
      </c>
      <c r="C3" s="17" t="s">
        <v>41</v>
      </c>
      <c r="D3" s="17" t="s">
        <v>42</v>
      </c>
      <c r="E3" s="17" t="s">
        <v>43</v>
      </c>
      <c r="F3" s="17" t="s">
        <v>44</v>
      </c>
      <c r="G3" s="18" t="s">
        <v>24</v>
      </c>
      <c r="H3" s="17"/>
      <c r="I3" s="17"/>
    </row>
    <row r="4" customFormat="false" ht="23.25" hidden="false" customHeight="true" outlineLevel="0" collapsed="false">
      <c r="A4" s="19" t="s">
        <v>45</v>
      </c>
      <c r="B4" s="20" t="s">
        <v>40</v>
      </c>
      <c r="C4" s="20" t="s">
        <v>46</v>
      </c>
      <c r="D4" s="20" t="s">
        <v>47</v>
      </c>
      <c r="E4" s="20" t="s">
        <v>48</v>
      </c>
      <c r="F4" s="20" t="s">
        <v>44</v>
      </c>
      <c r="G4" s="21" t="s">
        <v>24</v>
      </c>
      <c r="H4" s="20"/>
      <c r="I4" s="20"/>
    </row>
    <row r="5" customFormat="false" ht="23.25" hidden="false" customHeight="true" outlineLevel="0" collapsed="false">
      <c r="A5" s="16" t="s">
        <v>49</v>
      </c>
      <c r="B5" s="17" t="s">
        <v>40</v>
      </c>
      <c r="C5" s="17" t="s">
        <v>50</v>
      </c>
      <c r="D5" s="17" t="s">
        <v>51</v>
      </c>
      <c r="E5" s="17" t="s">
        <v>52</v>
      </c>
      <c r="F5" s="17" t="s">
        <v>44</v>
      </c>
      <c r="G5" s="18" t="s">
        <v>24</v>
      </c>
      <c r="H5" s="17"/>
      <c r="I5" s="17"/>
    </row>
    <row r="6" customFormat="false" ht="34.5" hidden="false" customHeight="true" outlineLevel="0" collapsed="false">
      <c r="A6" s="19" t="s">
        <v>53</v>
      </c>
      <c r="B6" s="20" t="s">
        <v>40</v>
      </c>
      <c r="C6" s="20" t="s">
        <v>54</v>
      </c>
      <c r="D6" s="20" t="s">
        <v>55</v>
      </c>
      <c r="E6" s="20" t="s">
        <v>56</v>
      </c>
      <c r="F6" s="20" t="s">
        <v>44</v>
      </c>
      <c r="G6" s="21" t="s">
        <v>24</v>
      </c>
      <c r="H6" s="20"/>
      <c r="I6" s="20"/>
    </row>
    <row r="7" customFormat="false" ht="34.5" hidden="false" customHeight="true" outlineLevel="0" collapsed="false">
      <c r="A7" s="16" t="s">
        <v>57</v>
      </c>
      <c r="B7" s="17" t="s">
        <v>58</v>
      </c>
      <c r="C7" s="17" t="s">
        <v>59</v>
      </c>
      <c r="D7" s="17" t="s">
        <v>60</v>
      </c>
      <c r="E7" s="17" t="s">
        <v>61</v>
      </c>
      <c r="F7" s="17" t="s">
        <v>44</v>
      </c>
      <c r="G7" s="18" t="s">
        <v>24</v>
      </c>
      <c r="H7" s="17"/>
      <c r="I7" s="17"/>
    </row>
    <row r="8" customFormat="false" ht="23.25" hidden="false" customHeight="true" outlineLevel="0" collapsed="false">
      <c r="A8" s="19" t="s">
        <v>62</v>
      </c>
      <c r="B8" s="20" t="s">
        <v>58</v>
      </c>
      <c r="C8" s="20" t="s">
        <v>63</v>
      </c>
      <c r="D8" s="20" t="s">
        <v>64</v>
      </c>
      <c r="E8" s="20" t="s">
        <v>65</v>
      </c>
      <c r="F8" s="20" t="s">
        <v>44</v>
      </c>
      <c r="G8" s="21" t="s">
        <v>24</v>
      </c>
      <c r="H8" s="20"/>
      <c r="I8" s="20"/>
    </row>
    <row r="9" customFormat="false" ht="23.25" hidden="false" customHeight="true" outlineLevel="0" collapsed="false">
      <c r="A9" s="16" t="s">
        <v>66</v>
      </c>
      <c r="B9" s="17" t="s">
        <v>58</v>
      </c>
      <c r="C9" s="17" t="s">
        <v>67</v>
      </c>
      <c r="D9" s="17" t="s">
        <v>68</v>
      </c>
      <c r="E9" s="17" t="s">
        <v>69</v>
      </c>
      <c r="F9" s="17" t="s">
        <v>44</v>
      </c>
      <c r="G9" s="18" t="s">
        <v>24</v>
      </c>
      <c r="H9" s="17"/>
      <c r="I9" s="17"/>
    </row>
    <row r="10" customFormat="false" ht="23.25" hidden="false" customHeight="true" outlineLevel="0" collapsed="false">
      <c r="A10" s="19" t="s">
        <v>70</v>
      </c>
      <c r="B10" s="20" t="s">
        <v>58</v>
      </c>
      <c r="C10" s="20" t="s">
        <v>71</v>
      </c>
      <c r="D10" s="20" t="s">
        <v>72</v>
      </c>
      <c r="E10" s="20" t="s">
        <v>73</v>
      </c>
      <c r="F10" s="20" t="s">
        <v>44</v>
      </c>
      <c r="G10" s="21" t="s">
        <v>24</v>
      </c>
      <c r="H10" s="20"/>
      <c r="I10" s="20"/>
    </row>
    <row r="11" customFormat="false" ht="34.5" hidden="false" customHeight="true" outlineLevel="0" collapsed="false">
      <c r="A11" s="16" t="s">
        <v>74</v>
      </c>
      <c r="B11" s="17" t="s">
        <v>58</v>
      </c>
      <c r="C11" s="17" t="s">
        <v>75</v>
      </c>
      <c r="D11" s="17" t="s">
        <v>76</v>
      </c>
      <c r="E11" s="17" t="s">
        <v>77</v>
      </c>
      <c r="F11" s="17" t="s">
        <v>44</v>
      </c>
      <c r="G11" s="18" t="s">
        <v>24</v>
      </c>
      <c r="H11" s="17"/>
      <c r="I11" s="17"/>
    </row>
    <row r="12" customFormat="false" ht="23.25" hidden="false" customHeight="true" outlineLevel="0" collapsed="false">
      <c r="A12" s="19" t="s">
        <v>78</v>
      </c>
      <c r="B12" s="20" t="s">
        <v>58</v>
      </c>
      <c r="C12" s="20" t="s">
        <v>79</v>
      </c>
      <c r="D12" s="20" t="s">
        <v>80</v>
      </c>
      <c r="E12" s="20" t="s">
        <v>81</v>
      </c>
      <c r="F12" s="20" t="s">
        <v>44</v>
      </c>
      <c r="G12" s="21" t="s">
        <v>24</v>
      </c>
      <c r="H12" s="20"/>
      <c r="I12" s="20"/>
    </row>
    <row r="13" customFormat="false" ht="23.25" hidden="false" customHeight="true" outlineLevel="0" collapsed="false">
      <c r="A13" s="16" t="s">
        <v>82</v>
      </c>
      <c r="B13" s="17" t="s">
        <v>58</v>
      </c>
      <c r="C13" s="17" t="s">
        <v>83</v>
      </c>
      <c r="D13" s="17" t="s">
        <v>84</v>
      </c>
      <c r="E13" s="17" t="s">
        <v>85</v>
      </c>
      <c r="F13" s="17" t="s">
        <v>44</v>
      </c>
      <c r="G13" s="18" t="s">
        <v>24</v>
      </c>
      <c r="H13" s="17"/>
      <c r="I13" s="17"/>
    </row>
    <row r="14" customFormat="false" ht="45.75" hidden="false" customHeight="true" outlineLevel="0" collapsed="false">
      <c r="A14" s="19" t="s">
        <v>86</v>
      </c>
      <c r="B14" s="20" t="s">
        <v>58</v>
      </c>
      <c r="C14" s="20" t="s">
        <v>87</v>
      </c>
      <c r="D14" s="20" t="s">
        <v>88</v>
      </c>
      <c r="E14" s="20" t="s">
        <v>89</v>
      </c>
      <c r="F14" s="20" t="s">
        <v>44</v>
      </c>
      <c r="G14" s="21" t="s">
        <v>24</v>
      </c>
      <c r="H14" s="20"/>
      <c r="I14" s="20"/>
    </row>
    <row r="15" customFormat="false" ht="45.75" hidden="false" customHeight="true" outlineLevel="0" collapsed="false">
      <c r="A15" s="16" t="s">
        <v>90</v>
      </c>
      <c r="B15" s="17" t="s">
        <v>58</v>
      </c>
      <c r="C15" s="17" t="s">
        <v>91</v>
      </c>
      <c r="D15" s="17" t="s">
        <v>92</v>
      </c>
      <c r="E15" s="17" t="s">
        <v>93</v>
      </c>
      <c r="F15" s="17" t="s">
        <v>44</v>
      </c>
      <c r="G15" s="18" t="s">
        <v>24</v>
      </c>
      <c r="H15" s="17"/>
      <c r="I15" s="17"/>
    </row>
    <row r="16" customFormat="false" ht="15" hidden="false" customHeight="true" outlineLevel="0" collapsed="false">
      <c r="A16" s="19" t="s">
        <v>94</v>
      </c>
      <c r="B16" s="20" t="s">
        <v>58</v>
      </c>
      <c r="C16" s="20" t="s">
        <v>95</v>
      </c>
      <c r="D16" s="20" t="s">
        <v>96</v>
      </c>
      <c r="E16" s="20" t="s">
        <v>97</v>
      </c>
      <c r="F16" s="20" t="s">
        <v>44</v>
      </c>
      <c r="G16" s="21" t="s">
        <v>24</v>
      </c>
      <c r="H16" s="20"/>
      <c r="I16" s="20"/>
    </row>
    <row r="17" customFormat="false" ht="23.25" hidden="false" customHeight="true" outlineLevel="0" collapsed="false">
      <c r="A17" s="16" t="s">
        <v>98</v>
      </c>
      <c r="B17" s="17" t="s">
        <v>58</v>
      </c>
      <c r="C17" s="17" t="s">
        <v>99</v>
      </c>
      <c r="D17" s="17" t="s">
        <v>100</v>
      </c>
      <c r="E17" s="17" t="s">
        <v>101</v>
      </c>
      <c r="F17" s="17" t="s">
        <v>44</v>
      </c>
      <c r="G17" s="18" t="s">
        <v>24</v>
      </c>
      <c r="H17" s="17"/>
      <c r="I17" s="17"/>
    </row>
    <row r="18" customFormat="false" ht="23.25" hidden="false" customHeight="true" outlineLevel="0" collapsed="false">
      <c r="A18" s="19" t="s">
        <v>102</v>
      </c>
      <c r="B18" s="20" t="s">
        <v>58</v>
      </c>
      <c r="C18" s="20" t="s">
        <v>103</v>
      </c>
      <c r="D18" s="20" t="s">
        <v>104</v>
      </c>
      <c r="E18" s="20" t="s">
        <v>105</v>
      </c>
      <c r="F18" s="20" t="s">
        <v>44</v>
      </c>
      <c r="G18" s="21" t="s">
        <v>24</v>
      </c>
      <c r="H18" s="20"/>
      <c r="I18" s="20"/>
    </row>
    <row r="19" customFormat="false" ht="23.25" hidden="false" customHeight="true" outlineLevel="0" collapsed="false">
      <c r="A19" s="16" t="s">
        <v>106</v>
      </c>
      <c r="B19" s="17" t="s">
        <v>107</v>
      </c>
      <c r="C19" s="17" t="s">
        <v>108</v>
      </c>
      <c r="D19" s="17" t="s">
        <v>109</v>
      </c>
      <c r="E19" s="17" t="s">
        <v>110</v>
      </c>
      <c r="F19" s="17" t="s">
        <v>44</v>
      </c>
      <c r="G19" s="18" t="s">
        <v>24</v>
      </c>
      <c r="H19" s="17"/>
      <c r="I19" s="17"/>
    </row>
    <row r="20" customFormat="false" ht="15" hidden="false" customHeight="true" outlineLevel="0" collapsed="false">
      <c r="A20" s="19" t="s">
        <v>111</v>
      </c>
      <c r="B20" s="20" t="s">
        <v>112</v>
      </c>
      <c r="C20" s="20" t="s">
        <v>113</v>
      </c>
      <c r="D20" s="20" t="s">
        <v>114</v>
      </c>
      <c r="E20" s="20" t="s">
        <v>115</v>
      </c>
      <c r="F20" s="20" t="s">
        <v>44</v>
      </c>
      <c r="G20" s="21" t="s">
        <v>24</v>
      </c>
      <c r="H20" s="20"/>
      <c r="I20" s="20"/>
    </row>
    <row r="21" customFormat="false" ht="15" hidden="false" customHeight="true" outlineLevel="0" collapsed="false">
      <c r="A21" s="16" t="s">
        <v>116</v>
      </c>
      <c r="B21" s="17" t="s">
        <v>112</v>
      </c>
      <c r="C21" s="17" t="s">
        <v>117</v>
      </c>
      <c r="D21" s="17" t="s">
        <v>118</v>
      </c>
      <c r="E21" s="17" t="s">
        <v>119</v>
      </c>
      <c r="F21" s="17" t="s">
        <v>44</v>
      </c>
      <c r="G21" s="18" t="s">
        <v>24</v>
      </c>
      <c r="H21" s="17"/>
      <c r="I21" s="17"/>
    </row>
    <row r="22" customFormat="false" ht="23.25" hidden="false" customHeight="true" outlineLevel="0" collapsed="false">
      <c r="A22" s="19" t="s">
        <v>120</v>
      </c>
      <c r="B22" s="20" t="s">
        <v>112</v>
      </c>
      <c r="C22" s="20" t="s">
        <v>121</v>
      </c>
      <c r="D22" s="20" t="s">
        <v>122</v>
      </c>
      <c r="E22" s="20" t="s">
        <v>123</v>
      </c>
      <c r="F22" s="20" t="s">
        <v>44</v>
      </c>
      <c r="G22" s="21" t="s">
        <v>24</v>
      </c>
      <c r="H22" s="20"/>
      <c r="I22" s="20"/>
    </row>
    <row r="23" customFormat="false" ht="23.25" hidden="false" customHeight="true" outlineLevel="0" collapsed="false">
      <c r="A23" s="16" t="s">
        <v>124</v>
      </c>
      <c r="B23" s="17" t="s">
        <v>112</v>
      </c>
      <c r="C23" s="17" t="s">
        <v>125</v>
      </c>
      <c r="D23" s="17" t="s">
        <v>126</v>
      </c>
      <c r="E23" s="17" t="s">
        <v>127</v>
      </c>
      <c r="F23" s="17" t="s">
        <v>44</v>
      </c>
      <c r="G23" s="18" t="s">
        <v>24</v>
      </c>
      <c r="H23" s="17"/>
      <c r="I23" s="17"/>
    </row>
    <row r="24" customFormat="false" ht="23.25" hidden="false" customHeight="true" outlineLevel="0" collapsed="false">
      <c r="A24" s="19" t="s">
        <v>128</v>
      </c>
      <c r="B24" s="20" t="s">
        <v>129</v>
      </c>
      <c r="C24" s="20" t="s">
        <v>130</v>
      </c>
      <c r="D24" s="20" t="s">
        <v>131</v>
      </c>
      <c r="E24" s="20" t="s">
        <v>132</v>
      </c>
      <c r="F24" s="20" t="s">
        <v>44</v>
      </c>
      <c r="G24" s="21" t="s">
        <v>24</v>
      </c>
      <c r="H24" s="20"/>
      <c r="I24" s="20"/>
    </row>
    <row r="25" customFormat="false" ht="23.25" hidden="false" customHeight="true" outlineLevel="0" collapsed="false">
      <c r="A25" s="16" t="s">
        <v>133</v>
      </c>
      <c r="B25" s="17" t="s">
        <v>129</v>
      </c>
      <c r="C25" s="17" t="s">
        <v>134</v>
      </c>
      <c r="D25" s="17" t="s">
        <v>135</v>
      </c>
      <c r="E25" s="17" t="s">
        <v>136</v>
      </c>
      <c r="F25" s="17" t="s">
        <v>44</v>
      </c>
      <c r="G25" s="18" t="s">
        <v>24</v>
      </c>
      <c r="H25" s="17"/>
      <c r="I25" s="17"/>
    </row>
    <row r="26" customFormat="false" ht="23.25" hidden="false" customHeight="true" outlineLevel="0" collapsed="false">
      <c r="A26" s="19" t="s">
        <v>137</v>
      </c>
      <c r="B26" s="20" t="s">
        <v>129</v>
      </c>
      <c r="C26" s="20" t="s">
        <v>138</v>
      </c>
      <c r="D26" s="20" t="s">
        <v>139</v>
      </c>
      <c r="E26" s="20" t="s">
        <v>140</v>
      </c>
      <c r="F26" s="20" t="s">
        <v>44</v>
      </c>
      <c r="G26" s="21" t="s">
        <v>24</v>
      </c>
      <c r="H26" s="20"/>
      <c r="I26" s="20"/>
    </row>
    <row r="27" customFormat="false" ht="23.25" hidden="false" customHeight="true" outlineLevel="0" collapsed="false">
      <c r="A27" s="16" t="s">
        <v>141</v>
      </c>
      <c r="B27" s="17" t="s">
        <v>129</v>
      </c>
      <c r="C27" s="17" t="s">
        <v>142</v>
      </c>
      <c r="D27" s="17" t="s">
        <v>143</v>
      </c>
      <c r="E27" s="17" t="s">
        <v>144</v>
      </c>
      <c r="F27" s="17" t="s">
        <v>44</v>
      </c>
      <c r="G27" s="18" t="s">
        <v>24</v>
      </c>
      <c r="H27" s="17"/>
      <c r="I27" s="17"/>
    </row>
    <row r="28" customFormat="false" ht="23.25" hidden="false" customHeight="true" outlineLevel="0" collapsed="false">
      <c r="A28" s="19" t="s">
        <v>145</v>
      </c>
      <c r="B28" s="20" t="s">
        <v>129</v>
      </c>
      <c r="C28" s="20" t="s">
        <v>146</v>
      </c>
      <c r="D28" s="20" t="s">
        <v>147</v>
      </c>
      <c r="E28" s="20" t="s">
        <v>148</v>
      </c>
      <c r="F28" s="20" t="s">
        <v>44</v>
      </c>
      <c r="G28" s="21" t="s">
        <v>24</v>
      </c>
      <c r="H28" s="20"/>
      <c r="I28" s="20"/>
    </row>
    <row r="29" customFormat="false" ht="23.25" hidden="false" customHeight="true" outlineLevel="0" collapsed="false">
      <c r="A29" s="16" t="s">
        <v>149</v>
      </c>
      <c r="B29" s="17" t="s">
        <v>129</v>
      </c>
      <c r="C29" s="17" t="s">
        <v>150</v>
      </c>
      <c r="D29" s="17" t="s">
        <v>151</v>
      </c>
      <c r="E29" s="17" t="s">
        <v>152</v>
      </c>
      <c r="F29" s="17" t="s">
        <v>44</v>
      </c>
      <c r="G29" s="18" t="s">
        <v>24</v>
      </c>
      <c r="H29" s="17"/>
      <c r="I29" s="17"/>
    </row>
    <row r="30" customFormat="false" ht="23.25" hidden="false" customHeight="true" outlineLevel="0" collapsed="false">
      <c r="A30" s="19" t="s">
        <v>153</v>
      </c>
      <c r="B30" s="20" t="s">
        <v>129</v>
      </c>
      <c r="C30" s="20" t="s">
        <v>154</v>
      </c>
      <c r="D30" s="20" t="s">
        <v>155</v>
      </c>
      <c r="E30" s="20" t="s">
        <v>156</v>
      </c>
      <c r="F30" s="20" t="s">
        <v>44</v>
      </c>
      <c r="G30" s="21" t="s">
        <v>24</v>
      </c>
      <c r="H30" s="20"/>
      <c r="I30" s="20"/>
    </row>
    <row r="31" customFormat="false" ht="23.25" hidden="false" customHeight="true" outlineLevel="0" collapsed="false">
      <c r="A31" s="16" t="s">
        <v>157</v>
      </c>
      <c r="B31" s="17" t="s">
        <v>129</v>
      </c>
      <c r="C31" s="17" t="s">
        <v>158</v>
      </c>
      <c r="D31" s="17" t="s">
        <v>159</v>
      </c>
      <c r="E31" s="17" t="s">
        <v>160</v>
      </c>
      <c r="F31" s="17" t="s">
        <v>44</v>
      </c>
      <c r="G31" s="18" t="s">
        <v>24</v>
      </c>
      <c r="H31" s="17"/>
      <c r="I31" s="17"/>
    </row>
    <row r="32" customFormat="false" ht="23.25" hidden="false" customHeight="true" outlineLevel="0" collapsed="false">
      <c r="A32" s="19" t="s">
        <v>161</v>
      </c>
      <c r="B32" s="20" t="s">
        <v>129</v>
      </c>
      <c r="C32" s="20" t="s">
        <v>162</v>
      </c>
      <c r="D32" s="20" t="s">
        <v>163</v>
      </c>
      <c r="E32" s="20" t="s">
        <v>164</v>
      </c>
      <c r="F32" s="20" t="s">
        <v>44</v>
      </c>
      <c r="G32" s="21" t="s">
        <v>24</v>
      </c>
      <c r="H32" s="20"/>
      <c r="I32" s="20"/>
    </row>
    <row r="33" customFormat="false" ht="15" hidden="false" customHeight="true" outlineLevel="0" collapsed="false">
      <c r="A33" s="16" t="s">
        <v>165</v>
      </c>
      <c r="B33" s="17" t="s">
        <v>129</v>
      </c>
      <c r="C33" s="17" t="s">
        <v>166</v>
      </c>
      <c r="D33" s="17" t="s">
        <v>167</v>
      </c>
      <c r="E33" s="17" t="s">
        <v>168</v>
      </c>
      <c r="F33" s="17" t="s">
        <v>44</v>
      </c>
      <c r="G33" s="18" t="s">
        <v>24</v>
      </c>
      <c r="H33" s="17"/>
      <c r="I33" s="17"/>
    </row>
    <row r="34" customFormat="false" ht="23.25" hidden="false" customHeight="true" outlineLevel="0" collapsed="false">
      <c r="A34" s="19" t="s">
        <v>169</v>
      </c>
      <c r="B34" s="20" t="s">
        <v>129</v>
      </c>
      <c r="C34" s="20" t="s">
        <v>170</v>
      </c>
      <c r="D34" s="20" t="s">
        <v>171</v>
      </c>
      <c r="E34" s="20" t="s">
        <v>172</v>
      </c>
      <c r="F34" s="20" t="s">
        <v>44</v>
      </c>
      <c r="G34" s="21" t="s">
        <v>24</v>
      </c>
      <c r="H34" s="20"/>
      <c r="I34" s="20"/>
    </row>
    <row r="35" customFormat="false" ht="23.25" hidden="false" customHeight="true" outlineLevel="0" collapsed="false">
      <c r="A35" s="16" t="s">
        <v>173</v>
      </c>
      <c r="B35" s="17" t="s">
        <v>174</v>
      </c>
      <c r="C35" s="17" t="s">
        <v>175</v>
      </c>
      <c r="D35" s="17" t="s">
        <v>176</v>
      </c>
      <c r="E35" s="17" t="s">
        <v>177</v>
      </c>
      <c r="F35" s="17" t="s">
        <v>44</v>
      </c>
      <c r="G35" s="18" t="s">
        <v>24</v>
      </c>
      <c r="H35" s="17"/>
      <c r="I35" s="17"/>
    </row>
    <row r="36" customFormat="false" ht="23.25" hidden="false" customHeight="true" outlineLevel="0" collapsed="false">
      <c r="A36" s="19" t="s">
        <v>178</v>
      </c>
      <c r="B36" s="20" t="s">
        <v>174</v>
      </c>
      <c r="C36" s="20" t="s">
        <v>179</v>
      </c>
      <c r="D36" s="20" t="s">
        <v>180</v>
      </c>
      <c r="E36" s="20" t="s">
        <v>181</v>
      </c>
      <c r="F36" s="20" t="s">
        <v>44</v>
      </c>
      <c r="G36" s="21" t="s">
        <v>24</v>
      </c>
      <c r="H36" s="20"/>
      <c r="I36" s="20"/>
    </row>
    <row r="37" customFormat="false" ht="23.25" hidden="false" customHeight="true" outlineLevel="0" collapsed="false">
      <c r="A37" s="16" t="s">
        <v>182</v>
      </c>
      <c r="B37" s="17" t="s">
        <v>174</v>
      </c>
      <c r="C37" s="17" t="s">
        <v>183</v>
      </c>
      <c r="D37" s="17" t="s">
        <v>184</v>
      </c>
      <c r="E37" s="17" t="s">
        <v>185</v>
      </c>
      <c r="F37" s="17" t="s">
        <v>44</v>
      </c>
      <c r="G37" s="18" t="s">
        <v>24</v>
      </c>
      <c r="H37" s="17"/>
      <c r="I37" s="17"/>
    </row>
    <row r="38" customFormat="false" ht="23.25" hidden="false" customHeight="true" outlineLevel="0" collapsed="false">
      <c r="A38" s="19" t="s">
        <v>186</v>
      </c>
      <c r="B38" s="20" t="s">
        <v>174</v>
      </c>
      <c r="C38" s="20" t="s">
        <v>187</v>
      </c>
      <c r="D38" s="20" t="s">
        <v>188</v>
      </c>
      <c r="E38" s="20" t="s">
        <v>189</v>
      </c>
      <c r="F38" s="20" t="s">
        <v>44</v>
      </c>
      <c r="G38" s="21" t="s">
        <v>24</v>
      </c>
      <c r="H38" s="20"/>
      <c r="I38" s="20"/>
    </row>
    <row r="39" customFormat="false" ht="23.25" hidden="false" customHeight="true" outlineLevel="0" collapsed="false">
      <c r="A39" s="16" t="s">
        <v>190</v>
      </c>
      <c r="B39" s="17" t="s">
        <v>174</v>
      </c>
      <c r="C39" s="17" t="s">
        <v>191</v>
      </c>
      <c r="D39" s="17" t="s">
        <v>192</v>
      </c>
      <c r="E39" s="17" t="s">
        <v>193</v>
      </c>
      <c r="F39" s="17" t="s">
        <v>44</v>
      </c>
      <c r="G39" s="18" t="s">
        <v>24</v>
      </c>
      <c r="H39" s="17"/>
      <c r="I39" s="17"/>
    </row>
    <row r="40" customFormat="false" ht="23.25" hidden="false" customHeight="true" outlineLevel="0" collapsed="false">
      <c r="A40" s="19" t="s">
        <v>194</v>
      </c>
      <c r="B40" s="20" t="s">
        <v>174</v>
      </c>
      <c r="C40" s="20" t="s">
        <v>195</v>
      </c>
      <c r="D40" s="20" t="s">
        <v>196</v>
      </c>
      <c r="E40" s="20" t="s">
        <v>197</v>
      </c>
      <c r="F40" s="20" t="s">
        <v>44</v>
      </c>
      <c r="G40" s="21" t="s">
        <v>24</v>
      </c>
      <c r="H40" s="20"/>
      <c r="I40" s="20"/>
    </row>
    <row r="41" customFormat="false" ht="34.5" hidden="false" customHeight="true" outlineLevel="0" collapsed="false">
      <c r="A41" s="16" t="s">
        <v>198</v>
      </c>
      <c r="B41" s="17" t="s">
        <v>199</v>
      </c>
      <c r="C41" s="17" t="s">
        <v>200</v>
      </c>
      <c r="D41" s="17" t="s">
        <v>201</v>
      </c>
      <c r="E41" s="17" t="s">
        <v>202</v>
      </c>
      <c r="F41" s="17" t="s">
        <v>44</v>
      </c>
      <c r="G41" s="18" t="s">
        <v>24</v>
      </c>
      <c r="H41" s="17"/>
      <c r="I41" s="17"/>
    </row>
    <row r="42" customFormat="false" ht="23.25" hidden="false" customHeight="true" outlineLevel="0" collapsed="false">
      <c r="A42" s="19" t="s">
        <v>203</v>
      </c>
      <c r="B42" s="20" t="s">
        <v>199</v>
      </c>
      <c r="C42" s="20" t="s">
        <v>204</v>
      </c>
      <c r="D42" s="20" t="s">
        <v>205</v>
      </c>
      <c r="E42" s="20" t="s">
        <v>206</v>
      </c>
      <c r="F42" s="20" t="s">
        <v>44</v>
      </c>
      <c r="G42" s="21" t="s">
        <v>24</v>
      </c>
      <c r="H42" s="20"/>
      <c r="I42" s="20"/>
    </row>
    <row r="43" customFormat="false" ht="23.25" hidden="false" customHeight="true" outlineLevel="0" collapsed="false">
      <c r="A43" s="16" t="s">
        <v>207</v>
      </c>
      <c r="B43" s="17" t="s">
        <v>199</v>
      </c>
      <c r="C43" s="17" t="s">
        <v>208</v>
      </c>
      <c r="D43" s="17" t="s">
        <v>209</v>
      </c>
      <c r="E43" s="17" t="s">
        <v>210</v>
      </c>
      <c r="F43" s="17" t="s">
        <v>44</v>
      </c>
      <c r="G43" s="18" t="s">
        <v>24</v>
      </c>
      <c r="H43" s="17"/>
      <c r="I43" s="17"/>
    </row>
    <row r="44" customFormat="false" ht="23.25" hidden="false" customHeight="true" outlineLevel="0" collapsed="false">
      <c r="A44" s="19" t="s">
        <v>211</v>
      </c>
      <c r="B44" s="20" t="s">
        <v>199</v>
      </c>
      <c r="C44" s="20" t="s">
        <v>212</v>
      </c>
      <c r="D44" s="20" t="s">
        <v>213</v>
      </c>
      <c r="E44" s="20" t="s">
        <v>214</v>
      </c>
      <c r="F44" s="20" t="s">
        <v>44</v>
      </c>
      <c r="G44" s="21" t="s">
        <v>24</v>
      </c>
      <c r="H44" s="20"/>
      <c r="I44" s="20"/>
    </row>
    <row r="45" customFormat="false" ht="23.25" hidden="false" customHeight="true" outlineLevel="0" collapsed="false">
      <c r="A45" s="16" t="s">
        <v>215</v>
      </c>
      <c r="B45" s="17" t="s">
        <v>216</v>
      </c>
      <c r="C45" s="17" t="s">
        <v>217</v>
      </c>
      <c r="D45" s="17" t="s">
        <v>218</v>
      </c>
      <c r="E45" s="17" t="s">
        <v>219</v>
      </c>
      <c r="F45" s="17" t="s">
        <v>44</v>
      </c>
      <c r="G45" s="18" t="s">
        <v>24</v>
      </c>
      <c r="H45" s="17"/>
      <c r="I45" s="17"/>
    </row>
    <row r="46" customFormat="false" ht="23.25" hidden="false" customHeight="true" outlineLevel="0" collapsed="false">
      <c r="A46" s="19" t="s">
        <v>220</v>
      </c>
      <c r="B46" s="20" t="s">
        <v>216</v>
      </c>
      <c r="C46" s="20" t="s">
        <v>221</v>
      </c>
      <c r="D46" s="20" t="s">
        <v>222</v>
      </c>
      <c r="E46" s="20" t="s">
        <v>223</v>
      </c>
      <c r="F46" s="20" t="s">
        <v>44</v>
      </c>
      <c r="G46" s="21" t="s">
        <v>24</v>
      </c>
      <c r="H46" s="20"/>
      <c r="I46" s="20"/>
    </row>
    <row r="47" customFormat="false" ht="23.25" hidden="false" customHeight="true" outlineLevel="0" collapsed="false">
      <c r="A47" s="16" t="s">
        <v>224</v>
      </c>
      <c r="B47" s="17" t="s">
        <v>216</v>
      </c>
      <c r="C47" s="17" t="s">
        <v>225</v>
      </c>
      <c r="D47" s="17" t="s">
        <v>226</v>
      </c>
      <c r="E47" s="17" t="s">
        <v>227</v>
      </c>
      <c r="F47" s="17" t="s">
        <v>44</v>
      </c>
      <c r="G47" s="18" t="s">
        <v>24</v>
      </c>
      <c r="H47" s="17"/>
      <c r="I47" s="17"/>
    </row>
    <row r="48" customFormat="false" ht="15" hidden="false" customHeight="true" outlineLevel="0" collapsed="false">
      <c r="A48" s="19" t="s">
        <v>228</v>
      </c>
      <c r="B48" s="20" t="s">
        <v>216</v>
      </c>
      <c r="C48" s="20" t="s">
        <v>229</v>
      </c>
      <c r="D48" s="20" t="s">
        <v>230</v>
      </c>
      <c r="E48" s="20" t="s">
        <v>231</v>
      </c>
      <c r="F48" s="20" t="s">
        <v>44</v>
      </c>
      <c r="G48" s="21" t="s">
        <v>24</v>
      </c>
      <c r="H48" s="20"/>
      <c r="I48" s="20"/>
    </row>
    <row r="49" customFormat="false" ht="15" hidden="false" customHeight="true" outlineLevel="0" collapsed="false">
      <c r="A49" s="16" t="s">
        <v>232</v>
      </c>
      <c r="B49" s="17" t="s">
        <v>216</v>
      </c>
      <c r="C49" s="17" t="s">
        <v>233</v>
      </c>
      <c r="D49" s="17" t="s">
        <v>234</v>
      </c>
      <c r="E49" s="17" t="s">
        <v>235</v>
      </c>
      <c r="F49" s="17" t="s">
        <v>44</v>
      </c>
      <c r="G49" s="18" t="s">
        <v>24</v>
      </c>
      <c r="H49" s="17"/>
      <c r="I49" s="17"/>
    </row>
    <row r="50" customFormat="false" ht="23.25" hidden="false" customHeight="true" outlineLevel="0" collapsed="false">
      <c r="A50" s="19" t="s">
        <v>236</v>
      </c>
      <c r="B50" s="20" t="s">
        <v>237</v>
      </c>
      <c r="C50" s="20" t="s">
        <v>238</v>
      </c>
      <c r="D50" s="20" t="s">
        <v>239</v>
      </c>
      <c r="E50" s="20" t="s">
        <v>240</v>
      </c>
      <c r="F50" s="20" t="s">
        <v>44</v>
      </c>
      <c r="G50" s="21" t="s">
        <v>24</v>
      </c>
      <c r="H50" s="20"/>
      <c r="I50" s="20"/>
    </row>
    <row r="51" customFormat="false" ht="34.5" hidden="false" customHeight="true" outlineLevel="0" collapsed="false">
      <c r="A51" s="16" t="s">
        <v>241</v>
      </c>
      <c r="B51" s="17" t="s">
        <v>237</v>
      </c>
      <c r="C51" s="17" t="s">
        <v>242</v>
      </c>
      <c r="D51" s="17" t="s">
        <v>243</v>
      </c>
      <c r="E51" s="17" t="s">
        <v>244</v>
      </c>
      <c r="F51" s="17" t="s">
        <v>44</v>
      </c>
      <c r="G51" s="18" t="s">
        <v>24</v>
      </c>
      <c r="H51" s="17"/>
      <c r="I51" s="17"/>
    </row>
    <row r="52" customFormat="false" ht="23.25" hidden="false" customHeight="true" outlineLevel="0" collapsed="false">
      <c r="A52" s="19" t="s">
        <v>245</v>
      </c>
      <c r="B52" s="20" t="s">
        <v>237</v>
      </c>
      <c r="C52" s="20" t="s">
        <v>246</v>
      </c>
      <c r="D52" s="20" t="s">
        <v>247</v>
      </c>
      <c r="E52" s="20" t="s">
        <v>248</v>
      </c>
      <c r="F52" s="20" t="s">
        <v>44</v>
      </c>
      <c r="G52" s="21" t="s">
        <v>24</v>
      </c>
      <c r="H52" s="20"/>
      <c r="I52" s="20"/>
    </row>
    <row r="53" customFormat="false" ht="23.25" hidden="false" customHeight="true" outlineLevel="0" collapsed="false">
      <c r="A53" s="16" t="s">
        <v>249</v>
      </c>
      <c r="B53" s="17" t="s">
        <v>237</v>
      </c>
      <c r="C53" s="17" t="s">
        <v>250</v>
      </c>
      <c r="D53" s="17" t="s">
        <v>251</v>
      </c>
      <c r="E53" s="17" t="s">
        <v>252</v>
      </c>
      <c r="F53" s="17" t="s">
        <v>44</v>
      </c>
      <c r="G53" s="18" t="s">
        <v>24</v>
      </c>
      <c r="H53" s="17"/>
      <c r="I53" s="17"/>
    </row>
    <row r="54" customFormat="false" ht="15" hidden="false" customHeight="true" outlineLevel="0" collapsed="false">
      <c r="A54" s="19" t="s">
        <v>253</v>
      </c>
      <c r="B54" s="20" t="s">
        <v>237</v>
      </c>
      <c r="C54" s="20" t="s">
        <v>254</v>
      </c>
      <c r="D54" s="20" t="s">
        <v>255</v>
      </c>
      <c r="E54" s="20" t="s">
        <v>256</v>
      </c>
      <c r="F54" s="20" t="s">
        <v>44</v>
      </c>
      <c r="G54" s="21" t="s">
        <v>24</v>
      </c>
      <c r="H54" s="20"/>
      <c r="I54" s="20"/>
    </row>
    <row r="55" customFormat="false" ht="23.25" hidden="false" customHeight="true" outlineLevel="0" collapsed="false">
      <c r="A55" s="16" t="s">
        <v>257</v>
      </c>
      <c r="B55" s="17" t="s">
        <v>237</v>
      </c>
      <c r="C55" s="17" t="s">
        <v>258</v>
      </c>
      <c r="D55" s="17" t="s">
        <v>259</v>
      </c>
      <c r="E55" s="17" t="s">
        <v>260</v>
      </c>
      <c r="F55" s="17" t="s">
        <v>44</v>
      </c>
      <c r="G55" s="18" t="s">
        <v>24</v>
      </c>
      <c r="H55" s="17"/>
      <c r="I55" s="17"/>
    </row>
    <row r="56" customFormat="false" ht="34.5" hidden="false" customHeight="true" outlineLevel="0" collapsed="false">
      <c r="A56" s="19" t="s">
        <v>261</v>
      </c>
      <c r="B56" s="20" t="s">
        <v>237</v>
      </c>
      <c r="C56" s="20" t="s">
        <v>262</v>
      </c>
      <c r="D56" s="20" t="s">
        <v>263</v>
      </c>
      <c r="E56" s="20" t="s">
        <v>264</v>
      </c>
      <c r="F56" s="20" t="s">
        <v>44</v>
      </c>
      <c r="G56" s="21" t="s">
        <v>24</v>
      </c>
      <c r="H56" s="20"/>
      <c r="I56" s="20"/>
    </row>
    <row r="57" customFormat="false" ht="34.5" hidden="false" customHeight="true" outlineLevel="0" collapsed="false">
      <c r="A57" s="16" t="s">
        <v>265</v>
      </c>
      <c r="B57" s="17" t="s">
        <v>237</v>
      </c>
      <c r="C57" s="17" t="s">
        <v>266</v>
      </c>
      <c r="D57" s="17" t="s">
        <v>267</v>
      </c>
      <c r="E57" s="17" t="s">
        <v>268</v>
      </c>
      <c r="F57" s="17" t="s">
        <v>44</v>
      </c>
      <c r="G57" s="18" t="s">
        <v>24</v>
      </c>
      <c r="H57" s="17"/>
      <c r="I57" s="17"/>
    </row>
    <row r="58" customFormat="false" ht="23.25" hidden="false" customHeight="true" outlineLevel="0" collapsed="false">
      <c r="A58" s="19" t="s">
        <v>269</v>
      </c>
      <c r="B58" s="20" t="s">
        <v>270</v>
      </c>
      <c r="C58" s="20" t="s">
        <v>271</v>
      </c>
      <c r="D58" s="20" t="s">
        <v>272</v>
      </c>
      <c r="E58" s="20" t="s">
        <v>273</v>
      </c>
      <c r="F58" s="20" t="s">
        <v>44</v>
      </c>
      <c r="G58" s="21" t="s">
        <v>24</v>
      </c>
      <c r="H58" s="20"/>
      <c r="I58" s="20"/>
    </row>
    <row r="59" customFormat="false" ht="34.5" hidden="false" customHeight="true" outlineLevel="0" collapsed="false">
      <c r="A59" s="16" t="s">
        <v>274</v>
      </c>
      <c r="B59" s="17" t="s">
        <v>270</v>
      </c>
      <c r="C59" s="17" t="s">
        <v>275</v>
      </c>
      <c r="D59" s="17" t="s">
        <v>276</v>
      </c>
      <c r="E59" s="17" t="s">
        <v>277</v>
      </c>
      <c r="F59" s="17" t="s">
        <v>44</v>
      </c>
      <c r="G59" s="18" t="s">
        <v>24</v>
      </c>
      <c r="H59" s="17"/>
      <c r="I59" s="17"/>
    </row>
    <row r="60" customFormat="false" ht="45.75" hidden="false" customHeight="true" outlineLevel="0" collapsed="false">
      <c r="A60" s="19" t="s">
        <v>278</v>
      </c>
      <c r="B60" s="20" t="s">
        <v>270</v>
      </c>
      <c r="C60" s="20" t="s">
        <v>279</v>
      </c>
      <c r="D60" s="20" t="s">
        <v>280</v>
      </c>
      <c r="E60" s="20" t="s">
        <v>281</v>
      </c>
      <c r="F60" s="20" t="s">
        <v>44</v>
      </c>
      <c r="G60" s="21" t="s">
        <v>24</v>
      </c>
      <c r="H60" s="20"/>
      <c r="I60" s="20"/>
    </row>
    <row r="61" customFormat="false" ht="23.25" hidden="false" customHeight="true" outlineLevel="0" collapsed="false">
      <c r="A61" s="16" t="s">
        <v>282</v>
      </c>
      <c r="B61" s="17" t="s">
        <v>270</v>
      </c>
      <c r="C61" s="17" t="s">
        <v>283</v>
      </c>
      <c r="D61" s="17" t="s">
        <v>284</v>
      </c>
      <c r="E61" s="17" t="s">
        <v>285</v>
      </c>
      <c r="F61" s="17" t="s">
        <v>44</v>
      </c>
      <c r="G61" s="18" t="s">
        <v>24</v>
      </c>
      <c r="H61" s="17"/>
      <c r="I61" s="17"/>
    </row>
    <row r="62" customFormat="false" ht="23.25" hidden="false" customHeight="true" outlineLevel="0" collapsed="false">
      <c r="A62" s="19" t="s">
        <v>286</v>
      </c>
      <c r="B62" s="20" t="s">
        <v>270</v>
      </c>
      <c r="C62" s="20" t="s">
        <v>287</v>
      </c>
      <c r="D62" s="20" t="s">
        <v>288</v>
      </c>
      <c r="E62" s="20" t="s">
        <v>289</v>
      </c>
      <c r="F62" s="20" t="s">
        <v>44</v>
      </c>
      <c r="G62" s="21" t="s">
        <v>24</v>
      </c>
      <c r="H62" s="20"/>
      <c r="I62" s="20"/>
    </row>
    <row r="63" customFormat="false" ht="23.25" hidden="false" customHeight="true" outlineLevel="0" collapsed="false">
      <c r="A63" s="16" t="s">
        <v>290</v>
      </c>
      <c r="B63" s="17" t="s">
        <v>270</v>
      </c>
      <c r="C63" s="17" t="s">
        <v>291</v>
      </c>
      <c r="D63" s="17" t="s">
        <v>292</v>
      </c>
      <c r="E63" s="17" t="s">
        <v>293</v>
      </c>
      <c r="F63" s="17" t="s">
        <v>44</v>
      </c>
      <c r="G63" s="18" t="s">
        <v>24</v>
      </c>
      <c r="H63" s="17"/>
      <c r="I63" s="17"/>
    </row>
    <row r="64" customFormat="false" ht="15" hidden="false" customHeight="true" outlineLevel="0" collapsed="false">
      <c r="A64" s="19" t="s">
        <v>294</v>
      </c>
      <c r="B64" s="20" t="s">
        <v>270</v>
      </c>
      <c r="C64" s="20" t="s">
        <v>295</v>
      </c>
      <c r="D64" s="20" t="s">
        <v>296</v>
      </c>
      <c r="E64" s="20" t="s">
        <v>297</v>
      </c>
      <c r="F64" s="20" t="s">
        <v>44</v>
      </c>
      <c r="G64" s="21" t="s">
        <v>24</v>
      </c>
      <c r="H64" s="20"/>
      <c r="I64" s="20"/>
    </row>
    <row r="65" customFormat="false" ht="15" hidden="false" customHeight="true" outlineLevel="0" collapsed="false">
      <c r="A65" s="16" t="s">
        <v>298</v>
      </c>
      <c r="B65" s="17" t="s">
        <v>270</v>
      </c>
      <c r="C65" s="17" t="s">
        <v>299</v>
      </c>
      <c r="D65" s="17" t="s">
        <v>300</v>
      </c>
      <c r="E65" s="17" t="s">
        <v>301</v>
      </c>
      <c r="F65" s="17" t="s">
        <v>44</v>
      </c>
      <c r="G65" s="18" t="s">
        <v>24</v>
      </c>
      <c r="H65" s="17"/>
      <c r="I65" s="17"/>
    </row>
    <row r="66" customFormat="false" ht="15" hidden="false" customHeight="true" outlineLevel="0" collapsed="false">
      <c r="A66" s="19" t="s">
        <v>302</v>
      </c>
      <c r="B66" s="20" t="s">
        <v>270</v>
      </c>
      <c r="C66" s="20" t="s">
        <v>303</v>
      </c>
      <c r="D66" s="20" t="s">
        <v>304</v>
      </c>
      <c r="E66" s="20" t="s">
        <v>305</v>
      </c>
      <c r="F66" s="20" t="s">
        <v>44</v>
      </c>
      <c r="G66" s="21" t="s">
        <v>24</v>
      </c>
      <c r="H66" s="20"/>
      <c r="I66" s="20"/>
    </row>
    <row r="67" customFormat="false" ht="34.5" hidden="false" customHeight="true" outlineLevel="0" collapsed="false">
      <c r="A67" s="16" t="s">
        <v>306</v>
      </c>
      <c r="B67" s="17" t="s">
        <v>270</v>
      </c>
      <c r="C67" s="17" t="s">
        <v>307</v>
      </c>
      <c r="D67" s="17" t="s">
        <v>308</v>
      </c>
      <c r="E67" s="17" t="s">
        <v>309</v>
      </c>
      <c r="F67" s="17" t="s">
        <v>44</v>
      </c>
      <c r="G67" s="18" t="s">
        <v>24</v>
      </c>
      <c r="H67" s="17"/>
      <c r="I67" s="17"/>
    </row>
    <row r="68" customFormat="false" ht="23.25" hidden="false" customHeight="true" outlineLevel="0" collapsed="false">
      <c r="A68" s="19" t="s">
        <v>310</v>
      </c>
      <c r="B68" s="20" t="s">
        <v>311</v>
      </c>
      <c r="C68" s="20" t="s">
        <v>312</v>
      </c>
      <c r="D68" s="20" t="s">
        <v>313</v>
      </c>
      <c r="E68" s="20" t="s">
        <v>314</v>
      </c>
      <c r="F68" s="20" t="s">
        <v>44</v>
      </c>
      <c r="G68" s="21" t="s">
        <v>24</v>
      </c>
      <c r="H68" s="20"/>
      <c r="I68" s="20"/>
    </row>
    <row r="69" customFormat="false" ht="15" hidden="false" customHeight="true" outlineLevel="0" collapsed="false">
      <c r="A69" s="16" t="s">
        <v>315</v>
      </c>
      <c r="B69" s="17" t="s">
        <v>311</v>
      </c>
      <c r="C69" s="17" t="s">
        <v>316</v>
      </c>
      <c r="D69" s="17" t="s">
        <v>317</v>
      </c>
      <c r="E69" s="17" t="s">
        <v>318</v>
      </c>
      <c r="F69" s="17" t="s">
        <v>44</v>
      </c>
      <c r="G69" s="18" t="s">
        <v>24</v>
      </c>
      <c r="H69" s="17"/>
      <c r="I69" s="17"/>
    </row>
    <row r="70" customFormat="false" ht="45.75" hidden="false" customHeight="true" outlineLevel="0" collapsed="false">
      <c r="A70" s="19" t="s">
        <v>319</v>
      </c>
      <c r="B70" s="20" t="s">
        <v>311</v>
      </c>
      <c r="C70" s="20" t="s">
        <v>320</v>
      </c>
      <c r="D70" s="20" t="s">
        <v>321</v>
      </c>
      <c r="E70" s="20" t="s">
        <v>322</v>
      </c>
      <c r="F70" s="20" t="s">
        <v>44</v>
      </c>
      <c r="G70" s="21" t="s">
        <v>24</v>
      </c>
      <c r="H70" s="20"/>
      <c r="I70" s="20"/>
    </row>
    <row r="71" customFormat="false" ht="23.25" hidden="false" customHeight="true" outlineLevel="0" collapsed="false">
      <c r="A71" s="16" t="s">
        <v>323</v>
      </c>
      <c r="B71" s="17" t="s">
        <v>311</v>
      </c>
      <c r="C71" s="17" t="s">
        <v>324</v>
      </c>
      <c r="D71" s="17" t="s">
        <v>325</v>
      </c>
      <c r="E71" s="17" t="s">
        <v>326</v>
      </c>
      <c r="F71" s="17" t="s">
        <v>44</v>
      </c>
      <c r="G71" s="18" t="s">
        <v>24</v>
      </c>
      <c r="H71" s="17"/>
      <c r="I71" s="17"/>
    </row>
    <row r="72" customFormat="false" ht="23.25" hidden="false" customHeight="true" outlineLevel="0" collapsed="false">
      <c r="A72" s="19" t="s">
        <v>327</v>
      </c>
      <c r="B72" s="20" t="s">
        <v>311</v>
      </c>
      <c r="C72" s="20" t="s">
        <v>328</v>
      </c>
      <c r="D72" s="20" t="s">
        <v>329</v>
      </c>
      <c r="E72" s="20" t="s">
        <v>330</v>
      </c>
      <c r="F72" s="20" t="s">
        <v>44</v>
      </c>
      <c r="G72" s="21" t="s">
        <v>24</v>
      </c>
      <c r="H72" s="20"/>
      <c r="I72" s="20"/>
    </row>
    <row r="73" customFormat="false" ht="23.25" hidden="false" customHeight="true" outlineLevel="0" collapsed="false">
      <c r="A73" s="16" t="s">
        <v>331</v>
      </c>
      <c r="B73" s="17" t="s">
        <v>332</v>
      </c>
      <c r="C73" s="17" t="s">
        <v>333</v>
      </c>
      <c r="D73" s="17" t="s">
        <v>334</v>
      </c>
      <c r="E73" s="17" t="s">
        <v>335</v>
      </c>
      <c r="F73" s="17" t="s">
        <v>44</v>
      </c>
      <c r="G73" s="18" t="s">
        <v>24</v>
      </c>
      <c r="H73" s="17"/>
      <c r="I73" s="17"/>
    </row>
    <row r="74" customFormat="false" ht="23.25" hidden="false" customHeight="true" outlineLevel="0" collapsed="false">
      <c r="A74" s="19" t="s">
        <v>336</v>
      </c>
      <c r="B74" s="20" t="s">
        <v>332</v>
      </c>
      <c r="C74" s="20" t="s">
        <v>337</v>
      </c>
      <c r="D74" s="20" t="s">
        <v>338</v>
      </c>
      <c r="E74" s="20" t="s">
        <v>339</v>
      </c>
      <c r="F74" s="20" t="s">
        <v>44</v>
      </c>
      <c r="G74" s="21" t="s">
        <v>24</v>
      </c>
      <c r="H74" s="20"/>
      <c r="I74" s="20"/>
    </row>
    <row r="75" customFormat="false" ht="15" hidden="false" customHeight="true" outlineLevel="0" collapsed="false">
      <c r="A75" s="16" t="s">
        <v>340</v>
      </c>
      <c r="B75" s="17" t="s">
        <v>332</v>
      </c>
      <c r="C75" s="17" t="s">
        <v>341</v>
      </c>
      <c r="D75" s="17" t="s">
        <v>342</v>
      </c>
      <c r="E75" s="17" t="s">
        <v>343</v>
      </c>
      <c r="F75" s="17" t="s">
        <v>44</v>
      </c>
      <c r="G75" s="18" t="s">
        <v>24</v>
      </c>
      <c r="H75" s="17"/>
      <c r="I75" s="17"/>
    </row>
    <row r="76" customFormat="false" ht="34.5" hidden="false" customHeight="true" outlineLevel="0" collapsed="false">
      <c r="A76" s="19" t="s">
        <v>344</v>
      </c>
      <c r="B76" s="20" t="s">
        <v>345</v>
      </c>
      <c r="C76" s="20" t="s">
        <v>346</v>
      </c>
      <c r="D76" s="20" t="s">
        <v>347</v>
      </c>
      <c r="E76" s="20" t="s">
        <v>348</v>
      </c>
      <c r="F76" s="20" t="s">
        <v>44</v>
      </c>
      <c r="G76" s="21" t="s">
        <v>24</v>
      </c>
      <c r="H76" s="20"/>
      <c r="I76" s="20"/>
    </row>
    <row r="77" customFormat="false" ht="23.25" hidden="false" customHeight="true" outlineLevel="0" collapsed="false">
      <c r="A77" s="16" t="s">
        <v>349</v>
      </c>
      <c r="B77" s="17" t="s">
        <v>345</v>
      </c>
      <c r="C77" s="17" t="s">
        <v>350</v>
      </c>
      <c r="D77" s="17" t="s">
        <v>351</v>
      </c>
      <c r="E77" s="17" t="s">
        <v>352</v>
      </c>
      <c r="F77" s="17" t="s">
        <v>44</v>
      </c>
      <c r="G77" s="18" t="s">
        <v>24</v>
      </c>
      <c r="H77" s="17"/>
      <c r="I77" s="17"/>
    </row>
    <row r="78" customFormat="false" ht="23.25" hidden="false" customHeight="true" outlineLevel="0" collapsed="false">
      <c r="A78" s="19" t="s">
        <v>353</v>
      </c>
      <c r="B78" s="20" t="s">
        <v>354</v>
      </c>
      <c r="C78" s="20" t="s">
        <v>355</v>
      </c>
      <c r="D78" s="20" t="s">
        <v>356</v>
      </c>
      <c r="E78" s="20" t="s">
        <v>357</v>
      </c>
      <c r="F78" s="20" t="s">
        <v>44</v>
      </c>
      <c r="G78" s="21" t="s">
        <v>24</v>
      </c>
      <c r="H78" s="20"/>
      <c r="I78" s="20"/>
    </row>
    <row r="79" customFormat="false" ht="23.25" hidden="false" customHeight="true" outlineLevel="0" collapsed="false">
      <c r="A79" s="16" t="s">
        <v>358</v>
      </c>
      <c r="B79" s="17" t="s">
        <v>354</v>
      </c>
      <c r="C79" s="17" t="s">
        <v>359</v>
      </c>
      <c r="D79" s="17" t="s">
        <v>360</v>
      </c>
      <c r="E79" s="17" t="s">
        <v>361</v>
      </c>
      <c r="F79" s="17" t="s">
        <v>44</v>
      </c>
      <c r="G79" s="18" t="s">
        <v>24</v>
      </c>
      <c r="H79" s="17"/>
      <c r="I79" s="17"/>
    </row>
  </sheetData>
  <autoFilter ref="A2:I79"/>
  <mergeCells count="1">
    <mergeCell ref="A1:I1"/>
  </mergeCells>
  <conditionalFormatting sqref="G3:G79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  <cfRule type="cellIs" priority="4" operator="equal" aboveAverage="0" equalAverage="0" bottom="0" percent="0" rank="0" text="" dxfId="10">
      <formula>"Blocked"</formula>
    </cfRule>
  </conditionalFormatting>
  <dataValidations count="1">
    <dataValidation allowBlank="false" errorStyle="stop" operator="between" showDropDown="false" showErrorMessage="false" showInputMessage="false" sqref="G3:G79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6" min="4" style="1" width="12"/>
    <col collapsed="false" customWidth="true" hidden="false" outlineLevel="0" max="7" min="7" style="1" width="44"/>
    <col collapsed="false" customWidth="true" hidden="false" outlineLevel="0" max="9" min="8" style="1" width="34"/>
    <col collapsed="false" customWidth="true" hidden="false" outlineLevel="0" max="10" min="10" style="1" width="24"/>
  </cols>
  <sheetData>
    <row r="1" customFormat="false" ht="30" hidden="false" customHeight="true" outlineLevel="0" collapsed="false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3.25" hidden="false" customHeight="true" outlineLevel="0" collapsed="false">
      <c r="A2" s="15" t="s">
        <v>363</v>
      </c>
      <c r="B2" s="15" t="s">
        <v>364</v>
      </c>
      <c r="C2" s="15" t="s">
        <v>365</v>
      </c>
      <c r="D2" s="15" t="s">
        <v>366</v>
      </c>
      <c r="E2" s="15" t="s">
        <v>367</v>
      </c>
      <c r="F2" s="15" t="s">
        <v>368</v>
      </c>
      <c r="G2" s="15" t="s">
        <v>369</v>
      </c>
      <c r="H2" s="15" t="s">
        <v>34</v>
      </c>
      <c r="I2" s="15" t="s">
        <v>35</v>
      </c>
      <c r="J2" s="15" t="s">
        <v>370</v>
      </c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</row>
    <row r="4" customFormat="false" ht="15" hidden="false" customHeight="true" outlineLevel="0" collapsed="false">
      <c r="A4" s="23"/>
      <c r="B4" s="23"/>
      <c r="C4" s="23"/>
      <c r="D4" s="23"/>
      <c r="E4" s="23"/>
      <c r="F4" s="23"/>
      <c r="G4" s="23"/>
      <c r="H4" s="23"/>
      <c r="I4" s="23"/>
      <c r="J4" s="23"/>
    </row>
    <row r="5" customFormat="false" ht="15" hidden="false" customHeight="true" outlineLevel="0" collapsed="false">
      <c r="A5" s="22"/>
      <c r="B5" s="22"/>
      <c r="C5" s="22"/>
      <c r="D5" s="22"/>
      <c r="E5" s="22"/>
      <c r="F5" s="22"/>
      <c r="G5" s="22"/>
      <c r="H5" s="22"/>
      <c r="I5" s="22"/>
      <c r="J5" s="22"/>
    </row>
    <row r="6" customFormat="false" ht="15" hidden="false" customHeight="true" outlineLevel="0" collapsed="false">
      <c r="A6" s="23"/>
      <c r="B6" s="23"/>
      <c r="C6" s="23"/>
      <c r="D6" s="23"/>
      <c r="E6" s="23"/>
      <c r="F6" s="23"/>
      <c r="G6" s="23"/>
      <c r="H6" s="23"/>
      <c r="I6" s="23"/>
      <c r="J6" s="23"/>
    </row>
    <row r="7" customFormat="false" ht="15" hidden="false" customHeight="tru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</row>
    <row r="8" customFormat="false" ht="15" hidden="false" customHeight="true" outlineLevel="0" collapsed="false">
      <c r="A8" s="23"/>
      <c r="B8" s="23"/>
      <c r="C8" s="23"/>
      <c r="D8" s="23"/>
      <c r="E8" s="23"/>
      <c r="F8" s="23"/>
      <c r="G8" s="23"/>
      <c r="H8" s="23"/>
      <c r="I8" s="23"/>
      <c r="J8" s="23"/>
    </row>
    <row r="9" customFormat="false" ht="15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customFormat="false" ht="15" hidden="false" customHeight="true" outlineLevel="0" collapsed="false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customFormat="false" ht="1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</row>
    <row r="12" customFormat="false" ht="1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  <c r="I12" s="23"/>
      <c r="J12" s="23"/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D3:D12" type="list">
      <formula1>"Critical,High,Medium,Low"</formula1>
      <formula2>0</formula2>
    </dataValidation>
    <dataValidation allowBlank="true" errorStyle="stop" operator="between" showDropDown="false" showErrorMessage="false" showInputMessage="false" sqref="E3:E12" type="list">
      <formula1>"High,Medium,Low"</formula1>
      <formula2>0</formula2>
    </dataValidation>
    <dataValidation allowBlank="true" errorStyle="stop" operator="between" showDropDown="false" showErrorMessage="false" showInputMessage="false" sqref="F3:F12" type="list">
      <formula1>"Open,In Progress,Fixed,Closed"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2026-10-20T16:50:14Z</dcterms:created>
  <dc:creator>openpyxl</dc:creator>
  <dc:description/>
  <dc:language>en-US</dc:language>
  <cp:lastModifiedBy/>
  <dcterms:modified xsi:type="dcterms:W3CDTF">2026-10-20T18:58:17Z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