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Info" sheetId="1" state="visible" r:id="rId3"/>
    <sheet name="Test Cases" sheetId="2" state="visible" r:id="rId4"/>
    <sheet name="Bug Reports" sheetId="3" state="visible" r:id="rId5"/>
  </sheets>
  <definedNames>
    <definedName function="false" hidden="true" localSheetId="2" name="_xlnm._FilterDatabase" vbProcedure="false">'Bug Reports'!$A$2:$L$6</definedName>
    <definedName function="false" hidden="false" localSheetId="1" name="_xlnm.Print_Titles" vbProcedure="false">'Test Cases'!$1:$2</definedName>
    <definedName function="false" hidden="true" localSheetId="1" name="_xlnm._FilterDatabase" vbProcedure="false">'Test Cases'!$A$2:$I$62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<sst xmlns="http://schemas.openxmlformats.org/spreadsheetml/2006/main" count="520" uniqueCount="340">
  <si>
    <t xml:space="preserve">THE DIG GAME | TEST PLAN</t>
  </si>
  <si>
    <t xml:space="preserve">PROJECT INFORMATION</t>
  </si>
  <si>
    <t xml:space="preserve">Project Name</t>
  </si>
  <si>
    <t xml:space="preserve">The Dig Game – Manual Testing</t>
  </si>
  <si>
    <t xml:space="preserve">Game URL</t>
  </si>
  <si>
    <t xml:space="preserve">https://louisdesimone.itch.io/the-dig-game</t>
  </si>
  <si>
    <t xml:space="preserve">Project Type</t>
  </si>
  <si>
    <t xml:space="preserve">Web Game</t>
  </si>
  <si>
    <t xml:space="preserve">Browser</t>
  </si>
  <si>
    <t xml:space="preserve">Chromium</t>
  </si>
  <si>
    <t xml:space="preserve">Test Type</t>
  </si>
  <si>
    <t xml:space="preserve">Manual Testing</t>
  </si>
  <si>
    <t xml:space="preserve">Tester</t>
  </si>
  <si>
    <t xml:space="preserve">Bartosz Sanecki</t>
  </si>
  <si>
    <t xml:space="preserve">Test Level</t>
  </si>
  <si>
    <t xml:space="preserve">System Testing</t>
  </si>
  <si>
    <t xml:space="preserve">Start Date</t>
  </si>
  <si>
    <t xml:space="preserve">30 July 2026</t>
  </si>
  <si>
    <t xml:space="preserve">Test Environment</t>
  </si>
  <si>
    <t xml:space="preserve">Chromium browser - Desktop</t>
  </si>
  <si>
    <t xml:space="preserve">End Date</t>
  </si>
  <si>
    <t xml:space="preserve">31 July 2026</t>
  </si>
  <si>
    <t xml:space="preserve">Operating System</t>
  </si>
  <si>
    <t xml:space="preserve">Fedora Linux 44</t>
  </si>
  <si>
    <t xml:space="preserve">Test Status</t>
  </si>
  <si>
    <t xml:space="preserve">completed</t>
  </si>
  <si>
    <t xml:space="preserve">TEST SCOPE &amp; APPROACH</t>
  </si>
  <si>
    <t xml:space="preserve">Objective</t>
  </si>
  <si>
    <t xml:space="preserve">Verify core gameplay mechanics, controls, collisions, terrain interaction and visual behavior.</t>
  </si>
  <si>
    <t xml:space="preserve">In Scope</t>
  </si>
  <si>
    <t xml:space="preserve">Movement and controls, collision detection, digging, physics and environment, gliding, camera, object interaction, UI/input where available, stability and edge cases.</t>
  </si>
  <si>
    <t xml:space="preserve">Out of Scope</t>
  </si>
  <si>
    <t xml:space="preserve">Multiplayer, security testing, performance benchmarking and features not available or not evaluated.</t>
  </si>
  <si>
    <t xml:space="preserve">Approach</t>
  </si>
  <si>
    <t xml:space="preserve">Manual functional testing, exploratory testing, visual testing and regression-oriented checks.</t>
  </si>
  <si>
    <t xml:space="preserve">Tools</t>
  </si>
  <si>
    <t xml:space="preserve">Chromium browser, spreadsheet documentation and Loom recordings supplied with the reported findings.</t>
  </si>
  <si>
    <t xml:space="preserve">Limitations</t>
  </si>
  <si>
    <t xml:space="preserve">Game build/version was not recorded. The test environment was Chromium browser on Fedora Linux 44. Some test scenarios depend on specific gameplay features or interactions being available.</t>
  </si>
  <si>
    <t xml:space="preserve">TEST EXECUTION SUMMARY</t>
  </si>
  <si>
    <t xml:space="preserve">Total test cases</t>
  </si>
  <si>
    <t xml:space="preserve">Note</t>
  </si>
  <si>
    <t xml:space="preserve">Summary counts are automatically updated based on the statuses in Test Cases. All test cases have been executed and their results documented.</t>
  </si>
  <si>
    <t xml:space="preserve">PASS</t>
  </si>
  <si>
    <t xml:space="preserve">FAIL</t>
  </si>
  <si>
    <t xml:space="preserve">SKIPPED</t>
  </si>
  <si>
    <t xml:space="preserve">Total bug reports</t>
  </si>
  <si>
    <t xml:space="preserve">THE DIG GAME | TEST CASES</t>
  </si>
  <si>
    <t xml:space="preserve">Test Case ID</t>
  </si>
  <si>
    <t xml:space="preserve">Category</t>
  </si>
  <si>
    <t xml:space="preserve">Test Scenario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</si>
  <si>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</si>
  <si>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</si>
  <si>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</si>
  <si>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</si>
  <si>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Bug ID</t>
  </si>
  <si>
    <t xml:space="preserve">Notes</t>
  </si>
  <si>
    <t xml:space="preserve">GAME-TC-001</t>
  </si>
  <si>
    <t xml:space="preserve">Movement &amp; Controls</t>
  </si>
  <si>
    <t xml:space="preserve">Move character forward</t>
  </si>
  <si>
    <t xml:space="preserve">Press and hold the forward movement key.</t>
  </si>
  <si>
    <t xml:space="preserve">Character moves forward as intended.</t>
  </si>
  <si>
    <t xml:space="preserve">As expected.</t>
  </si>
  <si>
    <t xml:space="preserve">GAME-TC-002</t>
  </si>
  <si>
    <t xml:space="preserve">Move character backward</t>
  </si>
  <si>
    <t xml:space="preserve">Press and hold the backward movement key.</t>
  </si>
  <si>
    <t xml:space="preserve">Character moves backward as intended.</t>
  </si>
  <si>
    <t xml:space="preserve">GAME-TC-003</t>
  </si>
  <si>
    <t xml:space="preserve">Move character left and right</t>
  </si>
  <si>
    <t xml:space="preserve">Use the left and right movement controls.</t>
  </si>
  <si>
    <t xml:space="preserve">Character moves in the intended directions.</t>
  </si>
  <si>
    <t xml:space="preserve">GAME-TC-004</t>
  </si>
  <si>
    <t xml:space="preserve">Stop character movement</t>
  </si>
  <si>
    <t xml:space="preserve">Release all movement keys.</t>
  </si>
  <si>
    <t xml:space="preserve">Character stops moving as expected.</t>
  </si>
  <si>
    <t xml:space="preserve">GAME-TC-005</t>
  </si>
  <si>
    <t xml:space="preserve">Change movement direction quickly</t>
  </si>
  <si>
    <t xml:space="preserve">Alternate between opposite movement directions.</t>
  </si>
  <si>
    <t xml:space="preserve">Character responds correctly without becoming stuck.</t>
  </si>
  <si>
    <t xml:space="preserve">GAME-TC-006</t>
  </si>
  <si>
    <t xml:space="preserve">Move while adjusting camera</t>
  </si>
  <si>
    <t xml:space="preserve">Move the character while rotating the camera.</t>
  </si>
  <si>
    <t xml:space="preserve">Movement remains controllable and consistent.</t>
  </si>
  <si>
    <t xml:space="preserve">GAME-TC-007</t>
  </si>
  <si>
    <t xml:space="preserve">Collision Detection</t>
  </si>
  <si>
    <t xml:space="preserve">Fence collision</t>
  </si>
  <si>
    <t xml:space="preserve">Approach a fence and attempt to move through it.</t>
  </si>
  <si>
    <t xml:space="preserve">Character cannot pass through a solid fence.</t>
  </si>
  <si>
    <t xml:space="preserve">Character can pass through a fence.</t>
  </si>
  <si>
    <t xml:space="preserve">GAME-BUG-004</t>
  </si>
  <si>
    <t xml:space="preserve">Reproduced.</t>
  </si>
  <si>
    <t xml:space="preserve">GAME-TC-008</t>
  </si>
  <si>
    <t xml:space="preserve">Walk along a fence</t>
  </si>
  <si>
    <t xml:space="preserve">Move parallel to the fence.</t>
  </si>
  <si>
    <t xml:space="preserve">Character follows the expected collision boundaries.</t>
  </si>
  <si>
    <t xml:space="preserve">GAME-TC-009</t>
  </si>
  <si>
    <t xml:space="preserve">Approach fence from different angles</t>
  </si>
  <si>
    <t xml:space="preserve">Attempt to pass through different parts of the fence.</t>
  </si>
  <si>
    <t xml:space="preserve">Collision behavior remains consistent.</t>
  </si>
  <si>
    <t xml:space="preserve">GAME-TC-010</t>
  </si>
  <si>
    <t xml:space="preserve">Terrain wall collision</t>
  </si>
  <si>
    <t xml:space="preserve">Move the character horizontally toward a solid terrain wall and hold the movement key.</t>
  </si>
  <si>
    <t xml:space="preserve">Character is blocked by the wall.</t>
  </si>
  <si>
    <t xml:space="preserve">GAME-TC-011</t>
  </si>
  <si>
    <t xml:space="preserve">Collision near a corner</t>
  </si>
  <si>
    <t xml:space="preserve">Approach a terrain corner from different directions.</t>
  </si>
  <si>
    <t xml:space="preserve">Character does not unexpectedly clip through geometry.</t>
  </si>
  <si>
    <t xml:space="preserve">GAME-TC-012</t>
  </si>
  <si>
    <t xml:space="preserve">Collision around a dug hole</t>
  </si>
  <si>
    <t xml:space="preserve">Move around the edge of a dug hole.</t>
  </si>
  <si>
    <t xml:space="preserve">Character interacts with terrain boundaries as intended.</t>
  </si>
  <si>
    <t xml:space="preserve">GAME-TC-013</t>
  </si>
  <si>
    <t xml:space="preserve">Digging Mechanics</t>
  </si>
  <si>
    <t xml:space="preserve">Dig a soil block</t>
  </si>
  <si>
    <t xml:space="preserve">Aim at soil and dig it with the left mouse button.</t>
  </si>
  <si>
    <t xml:space="preserve">Targeted soil is removed as intended.</t>
  </si>
  <si>
    <t xml:space="preserve">GAME-TC-014</t>
  </si>
  <si>
    <t xml:space="preserve">Dig a sand block</t>
  </si>
  <si>
    <t xml:space="preserve">Aim at sand and dig it with the left mouse button.</t>
  </si>
  <si>
    <t xml:space="preserve">Targeted sand is removed as intended.</t>
  </si>
  <si>
    <t xml:space="preserve">GAME-TC-015</t>
  </si>
  <si>
    <t xml:space="preserve">Dig multiple adjacent blocks</t>
  </si>
  <si>
    <t xml:space="preserve">Dig several neighboring blocks in sequence.</t>
  </si>
  <si>
    <t xml:space="preserve">Each intended block is removed correctly.</t>
  </si>
  <si>
    <t xml:space="preserve">GAME-TC-016</t>
  </si>
  <si>
    <t xml:space="preserve">Dig the same area repeatedly</t>
  </si>
  <si>
    <t xml:space="preserve">Continue digging in an already modified area.</t>
  </si>
  <si>
    <t xml:space="preserve">Repeated digging is handled without unexpected behavior.</t>
  </si>
  <si>
    <t xml:space="preserve">GAME-TC-017</t>
  </si>
  <si>
    <t xml:space="preserve">Dig near a different material</t>
  </si>
  <si>
    <t xml:space="preserve">Dig soil or sand next to another visible object or material.</t>
  </si>
  <si>
    <t xml:space="preserve">Only intended targets are affected.</t>
  </si>
  <si>
    <t xml:space="preserve">GAME-TC-018</t>
  </si>
  <si>
    <t xml:space="preserve">Dig while changing camera angle</t>
  </si>
  <si>
    <t xml:space="preserve">Rotate the camera and continue digging.</t>
  </si>
  <si>
    <t xml:space="preserve">Digging remains functional and targets the intended area.</t>
  </si>
  <si>
    <t xml:space="preserve">GAME-TC-019</t>
  </si>
  <si>
    <t xml:space="preserve">Stop digging midway through an action</t>
  </si>
  <si>
    <t xml:space="preserve">Release the left mouse button while digging.</t>
  </si>
  <si>
    <t xml:space="preserve">Digging stops or completes according to game design.</t>
  </si>
  <si>
    <t xml:space="preserve">GAME-TC-020</t>
  </si>
  <si>
    <t xml:space="preserve">Dig a narrow passage</t>
  </si>
  <si>
    <t xml:space="preserve">Dig a narrow route through the terrain.</t>
  </si>
  <si>
    <t xml:space="preserve">Terrain updates correctly and the passage remains accessible.</t>
  </si>
  <si>
    <t xml:space="preserve">GAME-TC-021</t>
  </si>
  <si>
    <t xml:space="preserve">Physics &amp; Environment</t>
  </si>
  <si>
    <t xml:space="preserve">Stones after surrounding soil is removed</t>
  </si>
  <si>
    <t xml:space="preserve">Dig soil surrounding stones and observe them.</t>
  </si>
  <si>
    <t xml:space="preserve">Stones behave according to the intended physics rules.</t>
  </si>
  <si>
    <t xml:space="preserve">Stones remain floating after surrounding soil/sand is removed.</t>
  </si>
  <si>
    <t xml:space="preserve">GAME-BUG-001</t>
  </si>
  <si>
    <t xml:space="preserve">GAME-TC-022</t>
  </si>
  <si>
    <t xml:space="preserve">Stones after surrounding sand is removed</t>
  </si>
  <si>
    <t xml:space="preserve">Dig sand around stones and observe them.</t>
  </si>
  <si>
    <t xml:space="preserve">Stones behave consistently with the intended physics rules.</t>
  </si>
  <si>
    <t xml:space="preserve">GAME-TC-023</t>
  </si>
  <si>
    <t xml:space="preserve">Objects near a newly created hole</t>
  </si>
  <si>
    <t xml:space="preserve">Dig near visible objects and inspect their positions.</t>
  </si>
  <si>
    <t xml:space="preserve">Objects remain in valid positions according to game rules.</t>
  </si>
  <si>
    <t xml:space="preserve">GAME-TC-024</t>
  </si>
  <si>
    <t xml:space="preserve">Environment after repeated digging</t>
  </si>
  <si>
    <t xml:space="preserve">Dig several nearby blocks and inspect the result.</t>
  </si>
  <si>
    <t xml:space="preserve">No unexpected gaps or visual inconsistencies appear.</t>
  </si>
  <si>
    <t xml:space="preserve">GAME-TC-025</t>
  </si>
  <si>
    <t xml:space="preserve">Observe unsupported objects</t>
  </si>
  <si>
    <t xml:space="preserve">Remove surrounding material from an object that appears supported by it.</t>
  </si>
  <si>
    <t xml:space="preserve">Object behavior matches intended game design.</t>
  </si>
  <si>
    <t xml:space="preserve">GAME-TC-026</t>
  </si>
  <si>
    <t xml:space="preserve">Inspect terrain after moving away and returning</t>
  </si>
  <si>
    <t xml:space="preserve">Modify terrain, move away, then return to inspect it.</t>
  </si>
  <si>
    <t xml:space="preserve">Terrain changes remain consistent during the session.</t>
  </si>
  <si>
    <t xml:space="preserve">GAME-TC-027</t>
  </si>
  <si>
    <t xml:space="preserve">Gliding Mechanics</t>
  </si>
  <si>
    <t xml:space="preserve">Activate gliding</t>
  </si>
  <si>
    <t xml:space="preserve">Double-press Space and hold it to activate gliding.</t>
  </si>
  <si>
    <t xml:space="preserve">Gliding activates as intended.</t>
  </si>
  <si>
    <t xml:space="preserve">GAME-TC-028</t>
  </si>
  <si>
    <t xml:space="preserve">Maintain gliding</t>
  </si>
  <si>
    <t xml:space="preserve">Continue holding Space during gliding.</t>
  </si>
  <si>
    <t xml:space="preserve">Gliding remains active according to game rules.</t>
  </si>
  <si>
    <t xml:space="preserve">GAME-TC-029</t>
  </si>
  <si>
    <t xml:space="preserve">Change camera direction while gliding</t>
  </si>
  <si>
    <t xml:space="preserve">Rotate the camera during gliding.</t>
  </si>
  <si>
    <t xml:space="preserve">Camera movement does not unexpectedly interrupt gliding.</t>
  </si>
  <si>
    <t xml:space="preserve">GAME-TC-030</t>
  </si>
  <si>
    <t xml:space="preserve">Look downward while gliding</t>
  </si>
  <si>
    <t xml:space="preserve">Activate gliding and point the camera down.</t>
  </si>
  <si>
    <t xml:space="preserve">Glider remains visually stable.</t>
  </si>
  <si>
    <t xml:space="preserve">Glider flickers or shifts position when the camera points downward.</t>
  </si>
  <si>
    <t xml:space="preserve">GAME-BUG-002</t>
  </si>
  <si>
    <t xml:space="preserve">GAME-TC-031</t>
  </si>
  <si>
    <t xml:space="preserve">Look upward while gliding</t>
  </si>
  <si>
    <t xml:space="preserve">Activate gliding and point the camera up.</t>
  </si>
  <si>
    <t xml:space="preserve">Glider renders consistently.</t>
  </si>
  <si>
    <t xml:space="preserve">GAME-TC-032</t>
  </si>
  <si>
    <t xml:space="preserve">Observe glider during movement</t>
  </si>
  <si>
    <t xml:space="preserve">Glide while changing direction.</t>
  </si>
  <si>
    <t xml:space="preserve">Glider animation and position remain consistent with gameplay.</t>
  </si>
  <si>
    <t xml:space="preserve">GAME-TC-033</t>
  </si>
  <si>
    <t xml:space="preserve">Camera &amp; Perspective</t>
  </si>
  <si>
    <t xml:space="preserve">Rotate camera horizontally</t>
  </si>
  <si>
    <t xml:space="preserve">Rotate the camera around the character.</t>
  </si>
  <si>
    <t xml:space="preserve">Camera rotates as intended.</t>
  </si>
  <si>
    <t xml:space="preserve">GAME-TC-034</t>
  </si>
  <si>
    <t xml:space="preserve">Rotate camera vertically</t>
  </si>
  <si>
    <t xml:space="preserve">Look up and down using camera controls.</t>
  </si>
  <si>
    <t xml:space="preserve">Camera responds correctly without unexpected artifacts.</t>
  </si>
  <si>
    <t xml:space="preserve">GAME-TC-035</t>
  </si>
  <si>
    <t xml:space="preserve">Inspect objects from different angles</t>
  </si>
  <si>
    <t xml:space="preserve">View nearby objects from multiple camera angles.</t>
  </si>
  <si>
    <t xml:space="preserve">Objects remain visible and render consistently.</t>
  </si>
  <si>
    <t xml:space="preserve">GAME-TC-036</t>
  </si>
  <si>
    <t xml:space="preserve">Camera near terrain walls</t>
  </si>
  <si>
    <t xml:space="preserve">Move the camera close to a dug-hole wall.</t>
  </si>
  <si>
    <t xml:space="preserve">Camera and nearby geometry render as intended.</t>
  </si>
  <si>
    <t xml:space="preserve">GAME-TC-037</t>
  </si>
  <si>
    <t xml:space="preserve">Shovel clipping near a hole wall</t>
  </si>
  <si>
    <t xml:space="preserve">Hold the shovel inside a hole and angle the camera toward the wall.</t>
  </si>
  <si>
    <t xml:space="preserve">Shovel remains visible without unintended clipping.</t>
  </si>
  <si>
    <t xml:space="preserve">Shovel partially disappears/clips into the wall at certain camera angles.</t>
  </si>
  <si>
    <t xml:space="preserve">GAME-BUG-003</t>
  </si>
  <si>
    <t xml:space="preserve">GAME-TC-038</t>
  </si>
  <si>
    <t xml:space="preserve">Rapid camera movement</t>
  </si>
  <si>
    <t xml:space="preserve">Rotate the camera quickly in several directions.</t>
  </si>
  <si>
    <t xml:space="preserve">Camera remains responsive without persistent visual artifacts.</t>
  </si>
  <si>
    <t xml:space="preserve">GAME-TC-039</t>
  </si>
  <si>
    <t xml:space="preserve">Visual Consistency</t>
  </si>
  <si>
    <t xml:space="preserve">Object visibility during camera rotation</t>
  </si>
  <si>
    <t xml:space="preserve">Rotate the camera around nearby objects.</t>
  </si>
  <si>
    <t xml:space="preserve">Objects do not unexpectedly disappear.</t>
  </si>
  <si>
    <t xml:space="preserve">GAME-TC-040</t>
  </si>
  <si>
    <t xml:space="preserve">Visual consistency after digging</t>
  </si>
  <si>
    <t xml:space="preserve">Dig several blocks and inspect the resulting terrain.</t>
  </si>
  <si>
    <t xml:space="preserve">No unintended visual artifacts remain.</t>
  </si>
  <si>
    <t xml:space="preserve">GAME-TC-041</t>
  </si>
  <si>
    <t xml:space="preserve">Object Interaction</t>
  </si>
  <si>
    <t xml:space="preserve">Hold shovel while moving</t>
  </si>
  <si>
    <t xml:space="preserve">Move around the environment while holding the shovel.</t>
  </si>
  <si>
    <t xml:space="preserve">Shovel remains attached to the character as intended.</t>
  </si>
  <si>
    <t xml:space="preserve">GAME-TC-042</t>
  </si>
  <si>
    <t xml:space="preserve">Hold shovel while changing camera angle</t>
  </si>
  <si>
    <t xml:space="preserve">Rotate the camera while the character holds the shovel.</t>
  </si>
  <si>
    <t xml:space="preserve">Shovel remains correctly rendered.</t>
  </si>
  <si>
    <t xml:space="preserve">GAME-TC-043</t>
  </si>
  <si>
    <t xml:space="preserve">Use shovel near terrain</t>
  </si>
  <si>
    <t xml:space="preserve">Dig near a wall or the edge of a hole.</t>
  </si>
  <si>
    <t xml:space="preserve">Shovel interaction behaves as intended.</t>
  </si>
  <si>
    <t xml:space="preserve">GAME-TC-044</t>
  </si>
  <si>
    <t xml:space="preserve">Interact with nearby environment objects</t>
  </si>
  <si>
    <t xml:space="preserve">Approach and interact with objects that support interaction.</t>
  </si>
  <si>
    <t xml:space="preserve">Available interactions respond correctly.</t>
  </si>
  <si>
    <t xml:space="preserve">GAME-TC-045</t>
  </si>
  <si>
    <t xml:space="preserve">Repeat an object interaction</t>
  </si>
  <si>
    <t xml:space="preserve">Repeat the same available interaction several times.</t>
  </si>
  <si>
    <t xml:space="preserve">Interaction remains consistent and does not become stuck.</t>
  </si>
  <si>
    <t xml:space="preserve">GAME-TC-046</t>
  </si>
  <si>
    <t xml:space="preserve">Game UI &amp; Input Handling</t>
  </si>
  <si>
    <t xml:space="preserve">Initial game loading</t>
  </si>
  <si>
    <t xml:space="preserve">Open the game page and start the game.</t>
  </si>
  <si>
    <t xml:space="preserve">Game loads and reaches a playable state.</t>
  </si>
  <si>
    <t xml:space="preserve">GAME-TC-047</t>
  </si>
  <si>
    <t xml:space="preserve">Initial controls and instructions</t>
  </si>
  <si>
    <t xml:space="preserve">Inspect the initial screen and any visible instructions.</t>
  </si>
  <si>
    <t xml:space="preserve">Available instructions are readable and understandable.</t>
  </si>
  <si>
    <t xml:space="preserve">GAME-TC-048</t>
  </si>
  <si>
    <t xml:space="preserve">Mouse input responsiveness</t>
  </si>
  <si>
    <t xml:space="preserve">Use the mouse for supported gameplay interactions.</t>
  </si>
  <si>
    <t xml:space="preserve">Mouse input is registered correctly.</t>
  </si>
  <si>
    <t xml:space="preserve">GAME-TC-049</t>
  </si>
  <si>
    <t xml:space="preserve">Keyboard input responsiveness</t>
  </si>
  <si>
    <t xml:space="preserve">Use supported keyboard controls individually.</t>
  </si>
  <si>
    <t xml:space="preserve">Each control performs its intended action.</t>
  </si>
  <si>
    <t xml:space="preserve">GAME-TC-050</t>
  </si>
  <si>
    <t xml:space="preserve">Repeated keyboard input</t>
  </si>
  <si>
    <t xml:space="preserve">Press and release movement or action keys repeatedly.</t>
  </si>
  <si>
    <t xml:space="preserve">Input continues to respond consistently.</t>
  </si>
  <si>
    <t xml:space="preserve">GAME-TC-051</t>
  </si>
  <si>
    <t xml:space="preserve">Stability &amp; Edge Cases</t>
  </si>
  <si>
    <t xml:space="preserve">Extended gameplay session</t>
  </si>
  <si>
    <t xml:space="preserve">Play for an extended period while using normal mechanics.</t>
  </si>
  <si>
    <t xml:space="preserve">Game remains responsive and playable.</t>
  </si>
  <si>
    <t xml:space="preserve">GAME-TC-052</t>
  </si>
  <si>
    <t xml:space="preserve">Repeated digging and movement</t>
  </si>
  <si>
    <t xml:space="preserve">Alternate between movement and digging repeatedly.</t>
  </si>
  <si>
    <t xml:space="preserve">Gameplay remains functional without unexpected interruption.</t>
  </si>
  <si>
    <t xml:space="preserve">GAME-TC-053</t>
  </si>
  <si>
    <t xml:space="preserve">Perform multiple actions in quick succession</t>
  </si>
  <si>
    <t xml:space="preserve">Move, rotate the camera and dig in quick succession.</t>
  </si>
  <si>
    <t xml:space="preserve">Inputs are handled without unexpected behavior.</t>
  </si>
  <si>
    <t xml:space="preserve">GAME-TC-054</t>
  </si>
  <si>
    <t xml:space="preserve">Move into tight spaces</t>
  </si>
  <si>
    <t xml:space="preserve">Navigate through narrow passages and near terrain boundaries.</t>
  </si>
  <si>
    <t xml:space="preserve">Character movement follows intended collision rules.</t>
  </si>
  <si>
    <t xml:space="preserve">GAME-TC-055</t>
  </si>
  <si>
    <t xml:space="preserve">Recover control after gliding</t>
  </si>
  <si>
    <t xml:space="preserve">Stop gliding using the supported method.</t>
  </si>
  <si>
    <t xml:space="preserve">Character returns to the expected movement state.</t>
  </si>
  <si>
    <t xml:space="preserve">GAME-TC-056</t>
  </si>
  <si>
    <t xml:space="preserve">Return to a previously modified area</t>
  </si>
  <si>
    <t xml:space="preserve">Dig an area, leave it and return.</t>
  </si>
  <si>
    <t xml:space="preserve">Modified environment remains consistent with game design.</t>
  </si>
  <si>
    <t xml:space="preserve">THE DIG GAME | BUG REPORTS</t>
  </si>
  <si>
    <t xml:space="preserve">Title</t>
  </si>
  <si>
    <t xml:space="preserve">Environment</t>
  </si>
  <si>
    <t xml:space="preserve">Preconditions</t>
  </si>
  <si>
    <t xml:space="preserve">Steps to Reproduce</t>
  </si>
  <si>
    <t xml:space="preserve">Severity</t>
  </si>
  <si>
    <t xml:space="preserve">Priority</t>
  </si>
  <si>
    <t xml:space="preserve">Evidence</t>
  </si>
  <si>
    <t xml:space="preserve">Stones remain floating after surrounding soil/sand is dug</t>
  </si>
  <si>
    <t xml:space="preserve">Physics / Environment</t>
  </si>
  <si>
    <t xml:space="preserve">Chromium, Fedora Linux 44</t>
  </si>
  <si>
    <t xml:space="preserve">Stones are embedded in diggable soil or sand</t>
  </si>
  <si>
    <t xml:space="preserve">1. Launch the game.
2. Dig soil/sand using the left mouse button.
3. Uncover stones.
4. Observe the stones.</t>
  </si>
  <si>
    <t xml:space="preserve">Stones behave according to intended physics/support rules after surrounding blocks are removed.</t>
  </si>
  <si>
    <t xml:space="preserve">Stones remain suspended after surrounding soil/sand blocks are removed.</t>
  </si>
  <si>
    <t xml:space="preserve">Major</t>
  </si>
  <si>
    <t xml:space="preserve">High</t>
  </si>
  <si>
    <t xml:space="preserve">Reported</t>
  </si>
  <si>
    <t xml:space="preserve">▶ Open evidence</t>
  </si>
  <si>
    <t xml:space="preserve">Glider flickers or shifts position when camera points down</t>
  </si>
  <si>
    <t xml:space="preserve">Gliding / Rendering</t>
  </si>
  <si>
    <t xml:space="preserve">Character can activate gliding</t>
  </si>
  <si>
    <t xml:space="preserve">1. Launch the game.
2. Double-press Space and hold it to glide.
3. Aim the camera downward.
4. Observe the glider.</t>
  </si>
  <si>
    <t xml:space="preserve">Glider remains visually stable in its intended position.</t>
  </si>
  <si>
    <t xml:space="preserve">Glider flickers and/or shifts position when the camera points downward.</t>
  </si>
  <si>
    <t xml:space="preserve">Medium</t>
  </si>
  <si>
    <t xml:space="preserve">Held shovel clips through dug-hole wall at certain camera angles</t>
  </si>
  <si>
    <t xml:space="preserve">Camera / Clipping</t>
  </si>
  <si>
    <t xml:space="preserve">Character holds a shovel and is inside a dug hole</t>
  </si>
  <si>
    <t xml:space="preserve">1. Launch the game.
2. Dig a hole.
3. Enter the hole holding the shovel.
4. Point the camera toward the wall.</t>
  </si>
  <si>
    <t xml:space="preserve">Shovel is rendered consistently without unintended clipping.</t>
  </si>
  <si>
    <t xml:space="preserve">Shovel partially disappears/clips into the hole wall at certain camera angles.</t>
  </si>
  <si>
    <t xml:space="preserve">Minor</t>
  </si>
  <si>
    <t xml:space="preserve">Character can pass through a fence</t>
  </si>
  <si>
    <t xml:space="preserve">Collision</t>
  </si>
  <si>
    <t xml:space="preserve">Character is near a fence section</t>
  </si>
  <si>
    <t xml:space="preserve">1. Launch the game.
2. Approach the fence.
3. Attempt to move through it.
4. Observe collision behavior.</t>
  </si>
  <si>
    <t xml:space="preserve">Fence collision prevents passage unless passage is intended by game design.</t>
  </si>
  <si>
    <t xml:space="preserve">Character passes through the fence.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</si>
</sst>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 Display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sz val="12"/>
      <color theme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243447"/>
      <name val="Aptos"/>
      <family val="0"/>
      <charset val="1"/>
    </font>
    <font>
      <sz val="10"/>
      <color rgb="FF243447"/>
      <name val="Aptos"/>
      <family val="0"/>
      <charset val="1"/>
    </font>
    <font>
      <b val="true"/>
      <u val="single"/>
      <sz val="10"/>
      <color rgb="FF0563C1"/>
      <name val="Aptos"/>
      <family val="0"/>
      <charset val="1"/>
    </font>
    <font>
      <b val="true"/>
      <sz val="10"/>
      <color rgb="FF7F6000"/>
      <name val="Aptos"/>
      <family val="0"/>
      <charset val="1"/>
    </font>
    <font>
      <b val="true"/>
      <u val="single"/>
      <sz val="10"/>
      <color rgb="FF0563C1"/>
      <name val="Aptos"/>
      <family val="0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243447"/>
      </patternFill>
    </fill>
    <fill>
      <patternFill patternType="solid">
        <fgColor rgb="FF0F6B78"/>
        <bgColor rgb="FF008080"/>
      </patternFill>
    </fill>
    <fill>
      <patternFill patternType="solid">
        <fgColor rgb="FFDDEBF7"/>
        <bgColor rgb="FFE3EEFA"/>
      </patternFill>
    </fill>
    <fill>
      <patternFill patternType="solid">
        <fgColor rgb="FFF3F6F9"/>
        <bgColor rgb="FFF7F9FC"/>
      </patternFill>
    </fill>
    <fill>
      <patternFill patternType="solid">
        <fgColor rgb="FF1F4E78"/>
        <bgColor rgb="FF17365D"/>
      </patternFill>
    </fill>
    <fill>
      <patternFill patternType="solid">
        <fgColor rgb="FFF7F9FC"/>
        <bgColor rgb="FFF3F6F9"/>
      </patternFill>
    </fill>
    <fill>
      <patternFill patternType="solid">
        <fgColor rgb="FFFFF2CC"/>
        <bgColor rgb="FFFFE9B3"/>
      </patternFill>
    </fill>
    <fill>
      <patternFill patternType="solid">
        <fgColor rgb="FFE3EEFA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EE8"/>
      </bottom>
      <diagonal/>
    </border>
    <border diagonalUp="false" diagonalDown="false"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  <border diagonalUp="false" diagonalDown="false">
      <left style="thin">
        <color rgb="FFD5DEE8"/>
      </left>
      <right style="thin">
        <color rgb="FFD5DEE8"/>
      </right>
      <top style="medium">
        <color rgb="FF1F4E78"/>
      </top>
      <bottom style="thin">
        <color rgb="FFD5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3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2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4344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AD2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1E6B3A"/>
          <bgColor rgb="FF000000"/>
        </patternFill>
      </fill>
    </dxf>
    <dxf>
      <fill>
        <patternFill patternType="solid">
          <fgColor rgb="FF9C1C1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b val="1"/>
        <color rgb="FF1E6B3A"/>
      </font>
      <fill>
        <patternFill>
          <bgColor rgb="FFC6EAD2"/>
        </patternFill>
      </fill>
    </dxf>
    <dxf>
      <font>
        <b val="1"/>
        <color rgb="FF9C1C1C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E9B3"/>
          <bgColor rgb="FF000000"/>
        </patternFill>
      </fill>
    </dxf>
    <dxf>
      <fill>
        <patternFill patternType="solid">
          <fgColor rgb="FFE3EEFA"/>
          <bgColor rgb="FF000000"/>
        </patternFill>
      </fill>
    </dxf>
    <dxf>
      <font>
        <b val="1"/>
        <color rgb="FF843C0C"/>
      </font>
      <fill>
        <patternFill>
          <bgColor rgb="FFF8CBAD"/>
        </patternFill>
      </fill>
    </dxf>
    <dxf>
      <font>
        <b val="1"/>
        <color rgb="FF404040"/>
      </font>
      <fill>
        <patternFill>
          <bgColor rgb="FFE7E6E6"/>
        </patternFill>
      </fill>
    </dxf>
    <dxf>
      <font>
        <name val="Calibri"/>
        <charset val="1"/>
        <family val="2"/>
        <b val="1"/>
        <color rgb="FF7F6000"/>
        <sz val="11"/>
      </font>
      <fill>
        <patternFill>
          <bgColor rgb="FFFFF2CC"/>
        </patternFill>
      </fill>
    </dxf>
    <dxf>
      <font>
        <b val="1"/>
        <color rgb="FF7F6000"/>
      </font>
      <fill>
        <patternFill>
          <bgColor rgb="FFFFE9B3"/>
        </patternFill>
      </fill>
    </dxf>
    <dxf>
      <font>
        <name val="Calibri"/>
        <charset val="1"/>
        <family val="2"/>
        <b val="1"/>
        <color rgb="FF7F6000"/>
        <sz val="11"/>
      </font>
      <fill>
        <patternFill>
          <bgColor rgb="FFFFE9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1C1C"/>
      <rgbColor rgb="FF1E6B3A"/>
      <rgbColor rgb="FF000080"/>
      <rgbColor rgb="FF7F6000"/>
      <rgbColor rgb="FF800080"/>
      <rgbColor rgb="FF0F6B78"/>
      <rgbColor rgb="FFF4CCCC"/>
      <rgbColor rgb="FF808080"/>
      <rgbColor rgb="FF9999FF"/>
      <rgbColor rgb="FFC0504D"/>
      <rgbColor rgb="FFFFF2CC"/>
      <rgbColor rgb="FFDDEBF7"/>
      <rgbColor rgb="FF660066"/>
      <rgbColor rgb="FFFF8080"/>
      <rgbColor rgb="FF0563C1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A"/>
      <rgbColor rgb="FFC6EAD2"/>
      <rgbColor rgb="FFFFE9B3"/>
      <rgbColor rgb="FFE7E6E6"/>
      <rgbColor rgb="FFF3F6F9"/>
      <rgbColor rgb="FFF7F9FC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404040"/>
      <rgbColor rgb="FF843C0C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ouisdesimone.itch.io/the-dig-gam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oom.com/share/2f43a89beda24e7eaafa518ee307c28d" TargetMode="External"/><Relationship Id="rId2" Type="http://schemas.openxmlformats.org/officeDocument/2006/relationships/hyperlink" Target="https://www.loom.com/share/94ed40c44d074ae2bb5c0c5ff2b18eb6" TargetMode="External"/><Relationship Id="rId3" Type="http://schemas.openxmlformats.org/officeDocument/2006/relationships/hyperlink" Target="https://www.loom.com/share/cceded7569134cd092c800289e8acf2c" TargetMode="External"/><Relationship Id="rId4" Type="http://schemas.openxmlformats.org/officeDocument/2006/relationships/hyperlink" Target="https://www.loom.com/share/757b1d11e41040a984076194daea9c52" TargetMode="External"/><Relationship Id="rId5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4" topLeftCell="A5" activePane="bottomLeft" state="frozen"/>
      <selection pane="topLeft" activeCell="A1" activeCellId="0" sqref="A1"/>
      <selection pane="bottomLeft" activeCell="D30" activeCellId="0" sqref="D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9"/>
    <col collapsed="false" customWidth="true" hidden="false" outlineLevel="0" max="3" min="3" style="1" width="17"/>
    <col collapsed="false" customWidth="true" hidden="false" outlineLevel="0" max="4" min="4" style="1" width="21"/>
    <col collapsed="false" customWidth="true" hidden="false" outlineLevel="0" max="5" min="5" style="1" width="34"/>
    <col collapsed="false" customWidth="true" hidden="false" outlineLevel="0" max="6" min="6" style="1" width="25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5" t="s">
        <v>3</v>
      </c>
      <c r="C3" s="5"/>
      <c r="D3" s="4" t="s">
        <v>4</v>
      </c>
      <c r="E3" s="6" t="s">
        <v>5</v>
      </c>
      <c r="F3" s="6"/>
    </row>
    <row r="4" customFormat="false" ht="15" hidden="false" customHeight="true" outlineLevel="0" collapsed="false">
      <c r="A4" s="4" t="s">
        <v>6</v>
      </c>
      <c r="B4" s="5" t="s">
        <v>7</v>
      </c>
      <c r="C4" s="5"/>
      <c r="D4" s="4" t="s">
        <v>8</v>
      </c>
      <c r="E4" s="5" t="s">
        <v>9</v>
      </c>
      <c r="F4" s="5"/>
    </row>
    <row r="5" customFormat="false" ht="15" hidden="false" customHeight="true" outlineLevel="0" collapsed="false">
      <c r="A5" s="4" t="s">
        <v>10</v>
      </c>
      <c r="B5" s="5" t="s">
        <v>11</v>
      </c>
      <c r="C5" s="5"/>
      <c r="D5" s="4" t="s">
        <v>12</v>
      </c>
      <c r="E5" s="5" t="s">
        <v>13</v>
      </c>
      <c r="F5" s="5"/>
    </row>
    <row r="6" customFormat="false" ht="15" hidden="false" customHeight="true" outlineLevel="0" collapsed="false">
      <c r="A6" s="4" t="s">
        <v>14</v>
      </c>
      <c r="B6" s="5" t="s">
        <v>15</v>
      </c>
      <c r="C6" s="5"/>
      <c r="D6" s="4" t="s">
        <v>16</v>
      </c>
      <c r="E6" s="5" t="s">
        <v>17</v>
      </c>
      <c r="F6" s="5"/>
    </row>
    <row r="7" customFormat="false" ht="15" hidden="false" customHeight="true" outlineLevel="0" collapsed="false">
      <c r="A7" s="4" t="s">
        <v>18</v>
      </c>
      <c r="B7" s="5" t="s">
        <v>19</v>
      </c>
      <c r="C7" s="5"/>
      <c r="D7" s="4" t="s">
        <v>20</v>
      </c>
      <c r="E7" s="5" t="s">
        <v>21</v>
      </c>
      <c r="F7" s="5"/>
    </row>
    <row r="8" customFormat="false" ht="15" hidden="false" customHeight="true" outlineLevel="0" collapsed="false">
      <c r="A8" s="4" t="s">
        <v>22</v>
      </c>
      <c r="B8" s="5" t="s">
        <v>23</v>
      </c>
      <c r="C8" s="5"/>
    </row>
    <row r="9" customFormat="false" ht="15" hidden="false" customHeight="true" outlineLevel="0" collapsed="false">
      <c r="A9" s="4" t="s">
        <v>24</v>
      </c>
      <c r="B9" s="5" t="s">
        <v>25</v>
      </c>
      <c r="C9" s="5"/>
    </row>
    <row r="12" customFormat="false" ht="15" hidden="false" customHeight="true" outlineLevel="0" collapsed="false">
      <c r="A12" s="3" t="s">
        <v>26</v>
      </c>
      <c r="B12" s="3"/>
      <c r="C12" s="3"/>
      <c r="D12" s="3"/>
      <c r="E12" s="3"/>
      <c r="F12" s="3"/>
    </row>
    <row r="13" customFormat="false" ht="27.75" hidden="false" customHeight="true" outlineLevel="0" collapsed="false">
      <c r="A13" s="4" t="s">
        <v>27</v>
      </c>
      <c r="B13" s="5" t="s">
        <v>28</v>
      </c>
      <c r="C13" s="5"/>
      <c r="D13" s="5"/>
      <c r="E13" s="5"/>
      <c r="F13" s="5"/>
    </row>
    <row r="14" customFormat="false" ht="36" hidden="false" customHeight="true" outlineLevel="0" collapsed="false">
      <c r="A14" s="4" t="s">
        <v>29</v>
      </c>
      <c r="B14" s="5" t="s">
        <v>30</v>
      </c>
      <c r="C14" s="5"/>
      <c r="D14" s="5"/>
      <c r="E14" s="5"/>
      <c r="F14" s="5"/>
    </row>
    <row r="15" customFormat="false" ht="27.75" hidden="false" customHeight="true" outlineLevel="0" collapsed="false">
      <c r="A15" s="4" t="s">
        <v>31</v>
      </c>
      <c r="B15" s="5" t="s">
        <v>32</v>
      </c>
      <c r="C15" s="5"/>
      <c r="D15" s="5"/>
      <c r="E15" s="5"/>
      <c r="F15" s="5"/>
    </row>
    <row r="16" customFormat="false" ht="27.75" hidden="false" customHeight="true" outlineLevel="0" collapsed="false">
      <c r="A16" s="4" t="s">
        <v>33</v>
      </c>
      <c r="B16" s="5" t="s">
        <v>34</v>
      </c>
      <c r="C16" s="5"/>
      <c r="D16" s="5"/>
      <c r="E16" s="5"/>
      <c r="F16" s="5"/>
    </row>
    <row r="17" customFormat="false" ht="27.75" hidden="false" customHeight="true" outlineLevel="0" collapsed="false">
      <c r="A17" s="4" t="s">
        <v>35</v>
      </c>
      <c r="B17" s="5" t="s">
        <v>36</v>
      </c>
      <c r="C17" s="5"/>
      <c r="D17" s="5"/>
      <c r="E17" s="5"/>
      <c r="F17" s="5"/>
    </row>
    <row r="18" customFormat="false" ht="36" hidden="false" customHeight="true" outlineLevel="0" collapsed="false">
      <c r="A18" s="4" t="s">
        <v>37</v>
      </c>
      <c r="B18" s="7" t="s">
        <v>38</v>
      </c>
      <c r="C18" s="7"/>
      <c r="D18" s="7"/>
      <c r="E18" s="7"/>
      <c r="F18" s="7"/>
    </row>
    <row r="21" customFormat="false" ht="15" hidden="false" customHeight="true" outlineLevel="0" collapsed="false">
      <c r="A21" s="3" t="s">
        <v>39</v>
      </c>
      <c r="B21" s="3"/>
      <c r="C21" s="3"/>
      <c r="D21" s="3"/>
      <c r="E21" s="3"/>
      <c r="F21" s="3"/>
    </row>
    <row r="22" customFormat="false" ht="15" hidden="false" customHeight="true" outlineLevel="0" collapsed="false">
      <c r="A22" s="8" t="s">
        <v>40</v>
      </c>
      <c r="B22" s="9" t="n">
        <f aca="false">COUNTA('Test Cases'!A3:A62)</f>
        <v>56</v>
      </c>
      <c r="D22" s="10" t="s">
        <v>41</v>
      </c>
      <c r="E22" s="5" t="s">
        <v>42</v>
      </c>
      <c r="F22" s="5"/>
    </row>
    <row r="23" customFormat="false" ht="15" hidden="false" customHeight="true" outlineLevel="0" collapsed="false">
      <c r="A23" s="8" t="s">
        <v>43</v>
      </c>
      <c r="B23" s="9" t="n">
        <f aca="false">COUNTIF('Test Cases'!G3:G62,"PASS")</f>
        <v>51</v>
      </c>
      <c r="D23" s="11"/>
      <c r="E23" s="5"/>
      <c r="F23" s="5"/>
    </row>
    <row r="24" customFormat="false" ht="15" hidden="false" customHeight="true" outlineLevel="0" collapsed="false">
      <c r="A24" s="8" t="s">
        <v>44</v>
      </c>
      <c r="B24" s="9" t="n">
        <f aca="false">COUNTIF('Test Cases'!G3:G62,"FAIL")</f>
        <v>5</v>
      </c>
      <c r="D24" s="11"/>
      <c r="E24" s="5"/>
      <c r="F24" s="5"/>
    </row>
    <row r="25" customFormat="false" ht="15" hidden="false" customHeight="true" outlineLevel="0" collapsed="false">
      <c r="A25" s="8" t="s">
        <v>45</v>
      </c>
      <c r="B25" s="9" t="n">
        <f aca="false">COUNTIF('Test Cases'!G3:G62,"SKIPPED")</f>
        <v>0</v>
      </c>
    </row>
    <row r="26" customFormat="false" ht="15" hidden="false" customHeight="true" outlineLevel="0" collapsed="false">
      <c r="A26" s="8" t="s">
        <v>46</v>
      </c>
      <c r="B26" s="9" t="n">
        <v>4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3"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B9:C9"/>
    <mergeCell ref="A12:F12"/>
    <mergeCell ref="B13:F13"/>
    <mergeCell ref="B14:F14"/>
    <mergeCell ref="B15:F15"/>
    <mergeCell ref="B16:F16"/>
    <mergeCell ref="B17:F17"/>
    <mergeCell ref="B18:F18"/>
    <mergeCell ref="A21:F21"/>
    <mergeCell ref="E22:F24"/>
  </mergeCells>
  <hyperlinks>
    <hyperlink ref="E3" r:id="rId1" display="https://louisdesimone.itch.io/the-dig-game"/>
  </hyperlinks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2" topLeftCell="A54" activePane="bottomLeft" state="frozen"/>
      <selection pane="topLeft" activeCell="A1" activeCellId="0" sqref="A1"/>
      <selection pane="bottomLeft" activeCell="H9" activeCellId="0" sqref="H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46"/>
    <col collapsed="false" customWidth="true" hidden="false" outlineLevel="0" max="5" min="5" style="1" width="44"/>
    <col collapsed="false" customWidth="true" hidden="false" outlineLevel="0" max="6" min="6" style="1" width="4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30"/>
  </cols>
  <sheetData>
    <row r="1" customFormat="false" ht="36" hidden="false" customHeight="true" outlineLevel="0" collapsed="false">
      <c r="A1" s="12" t="s">
        <v>47</v>
      </c>
      <c r="B1" s="12"/>
      <c r="C1" s="12"/>
      <c r="D1" s="12"/>
      <c r="E1" s="12"/>
      <c r="F1" s="12"/>
      <c r="G1" s="12"/>
      <c r="H1" s="12"/>
      <c r="I1" s="12"/>
    </row>
    <row r="2" customFormat="false" ht="27.75" hidden="false" customHeight="true" outlineLevel="0" collapsed="false">
      <c r="A2" s="13" t="s">
        <v>48</v>
      </c>
      <c r="B2" s="13" t="s">
        <v>49</v>
      </c>
      <c r="C2" s="13" t="s">
        <v>50</v>
      </c>
      <c r="D2" s="13" t="s">
        <v>51</v>
      </c>
      <c r="E2" s="13" t="s">
        <v>52</v>
      </c>
      <c r="F2" s="13" t="s">
        <v>53</v>
      </c>
      <c r="G2" s="13" t="s">
        <v>54</v>
      </c>
      <c r="H2" s="13" t="s">
        <v>55</v>
      </c>
      <c r="I2" s="13" t="s">
        <v>56</v>
      </c>
    </row>
    <row r="3" customFormat="false" ht="21.75" hidden="false" customHeight="true" outlineLevel="0" collapsed="false">
      <c r="A3" s="14" t="s">
        <v>57</v>
      </c>
      <c r="B3" s="15" t="s">
        <v>58</v>
      </c>
      <c r="C3" s="15" t="s">
        <v>59</v>
      </c>
      <c r="D3" s="15" t="s">
        <v>60</v>
      </c>
      <c r="E3" s="15" t="s">
        <v>61</v>
      </c>
      <c r="F3" s="15" t="s">
        <v>62</v>
      </c>
      <c r="G3" s="16" t="s">
        <v>43</v>
      </c>
      <c r="H3" s="16"/>
      <c r="I3" s="15"/>
    </row>
    <row r="4" customFormat="false" ht="21.75" hidden="false" customHeight="true" outlineLevel="0" collapsed="false">
      <c r="A4" s="17" t="s">
        <v>63</v>
      </c>
      <c r="B4" s="18" t="s">
        <v>58</v>
      </c>
      <c r="C4" s="18" t="s">
        <v>64</v>
      </c>
      <c r="D4" s="18" t="s">
        <v>65</v>
      </c>
      <c r="E4" s="18" t="s">
        <v>66</v>
      </c>
      <c r="F4" s="18" t="s">
        <v>62</v>
      </c>
      <c r="G4" s="19" t="s">
        <v>43</v>
      </c>
      <c r="H4" s="19"/>
      <c r="I4" s="18"/>
    </row>
    <row r="5" customFormat="false" ht="33.75" hidden="false" customHeight="true" outlineLevel="0" collapsed="false">
      <c r="A5" s="14" t="s">
        <v>67</v>
      </c>
      <c r="B5" s="15" t="s">
        <v>58</v>
      </c>
      <c r="C5" s="15" t="s">
        <v>68</v>
      </c>
      <c r="D5" s="15" t="s">
        <v>69</v>
      </c>
      <c r="E5" s="15" t="s">
        <v>70</v>
      </c>
      <c r="F5" s="15" t="s">
        <v>62</v>
      </c>
      <c r="G5" s="16" t="s">
        <v>43</v>
      </c>
      <c r="H5" s="16"/>
      <c r="I5" s="15"/>
    </row>
    <row r="6" customFormat="false" ht="21.75" hidden="false" customHeight="true" outlineLevel="0" collapsed="false">
      <c r="A6" s="17" t="s">
        <v>71</v>
      </c>
      <c r="B6" s="18" t="s">
        <v>58</v>
      </c>
      <c r="C6" s="18" t="s">
        <v>72</v>
      </c>
      <c r="D6" s="18" t="s">
        <v>73</v>
      </c>
      <c r="E6" s="18" t="s">
        <v>74</v>
      </c>
      <c r="F6" s="18" t="s">
        <v>62</v>
      </c>
      <c r="G6" s="19" t="s">
        <v>43</v>
      </c>
      <c r="H6" s="19"/>
      <c r="I6" s="18"/>
    </row>
    <row r="7" customFormat="false" ht="33.75" hidden="false" customHeight="true" outlineLevel="0" collapsed="false">
      <c r="A7" s="14" t="s">
        <v>75</v>
      </c>
      <c r="B7" s="15" t="s">
        <v>58</v>
      </c>
      <c r="C7" s="15" t="s">
        <v>76</v>
      </c>
      <c r="D7" s="15" t="s">
        <v>77</v>
      </c>
      <c r="E7" s="15" t="s">
        <v>78</v>
      </c>
      <c r="F7" s="15" t="s">
        <v>62</v>
      </c>
      <c r="G7" s="16" t="s">
        <v>43</v>
      </c>
      <c r="H7" s="16"/>
      <c r="I7" s="15"/>
    </row>
    <row r="8" customFormat="false" ht="33.75" hidden="false" customHeight="true" outlineLevel="0" collapsed="false">
      <c r="A8" s="17" t="s">
        <v>79</v>
      </c>
      <c r="B8" s="18" t="s">
        <v>58</v>
      </c>
      <c r="C8" s="18" t="s">
        <v>80</v>
      </c>
      <c r="D8" s="18" t="s">
        <v>81</v>
      </c>
      <c r="E8" s="18" t="s">
        <v>82</v>
      </c>
      <c r="F8" s="18" t="s">
        <v>62</v>
      </c>
      <c r="G8" s="19" t="s">
        <v>43</v>
      </c>
      <c r="H8" s="19"/>
      <c r="I8" s="18"/>
    </row>
    <row r="9" customFormat="false" ht="33.75" hidden="false" customHeight="true" outlineLevel="0" collapsed="false">
      <c r="A9" s="20" t="s">
        <v>83</v>
      </c>
      <c r="B9" s="21" t="s">
        <v>84</v>
      </c>
      <c r="C9" s="21" t="s">
        <v>85</v>
      </c>
      <c r="D9" s="21" t="s">
        <v>86</v>
      </c>
      <c r="E9" s="21" t="s">
        <v>87</v>
      </c>
      <c r="F9" s="21" t="s">
        <v>88</v>
      </c>
      <c r="G9" s="22" t="s">
        <v>44</v>
      </c>
      <c r="H9" s="23" t="s">
        <v>89</v>
      </c>
      <c r="I9" s="21" t="s">
        <v>90</v>
      </c>
    </row>
    <row r="10" customFormat="false" ht="33.75" hidden="false" customHeight="true" outlineLevel="0" collapsed="false">
      <c r="A10" s="17" t="s">
        <v>91</v>
      </c>
      <c r="B10" s="18" t="s">
        <v>84</v>
      </c>
      <c r="C10" s="18" t="s">
        <v>92</v>
      </c>
      <c r="D10" s="18" t="s">
        <v>93</v>
      </c>
      <c r="E10" s="18" t="s">
        <v>94</v>
      </c>
      <c r="F10" s="18" t="s">
        <v>62</v>
      </c>
      <c r="G10" s="19" t="s">
        <v>43</v>
      </c>
      <c r="H10" s="19"/>
      <c r="I10" s="18"/>
    </row>
    <row r="11" customFormat="false" ht="33.75" hidden="false" customHeight="true" outlineLevel="0" collapsed="false">
      <c r="A11" s="14" t="s">
        <v>95</v>
      </c>
      <c r="B11" s="15" t="s">
        <v>84</v>
      </c>
      <c r="C11" s="15" t="s">
        <v>96</v>
      </c>
      <c r="D11" s="15" t="s">
        <v>97</v>
      </c>
      <c r="E11" s="15" t="s">
        <v>98</v>
      </c>
      <c r="F11" s="15" t="s">
        <v>62</v>
      </c>
      <c r="G11" s="16" t="s">
        <v>43</v>
      </c>
      <c r="H11" s="16"/>
      <c r="I11" s="15"/>
    </row>
    <row r="12" customFormat="false" ht="47.25" hidden="false" customHeight="true" outlineLevel="0" collapsed="false">
      <c r="A12" s="17" t="s">
        <v>99</v>
      </c>
      <c r="B12" s="18" t="s">
        <v>84</v>
      </c>
      <c r="C12" s="18" t="s">
        <v>100</v>
      </c>
      <c r="D12" s="18" t="s">
        <v>101</v>
      </c>
      <c r="E12" s="18" t="s">
        <v>102</v>
      </c>
      <c r="F12" s="18" t="s">
        <v>62</v>
      </c>
      <c r="G12" s="19" t="s">
        <v>43</v>
      </c>
      <c r="H12" s="19"/>
      <c r="I12" s="18"/>
    </row>
    <row r="13" customFormat="false" ht="33.75" hidden="false" customHeight="true" outlineLevel="0" collapsed="false">
      <c r="A13" s="14" t="s">
        <v>103</v>
      </c>
      <c r="B13" s="15" t="s">
        <v>84</v>
      </c>
      <c r="C13" s="15" t="s">
        <v>104</v>
      </c>
      <c r="D13" s="15" t="s">
        <v>105</v>
      </c>
      <c r="E13" s="15" t="s">
        <v>106</v>
      </c>
      <c r="F13" s="15" t="s">
        <v>62</v>
      </c>
      <c r="G13" s="16" t="s">
        <v>43</v>
      </c>
      <c r="H13" s="16"/>
      <c r="I13" s="15"/>
    </row>
    <row r="14" customFormat="false" ht="33.75" hidden="false" customHeight="true" outlineLevel="0" collapsed="false">
      <c r="A14" s="17" t="s">
        <v>107</v>
      </c>
      <c r="B14" s="18" t="s">
        <v>84</v>
      </c>
      <c r="C14" s="18" t="s">
        <v>108</v>
      </c>
      <c r="D14" s="18" t="s">
        <v>109</v>
      </c>
      <c r="E14" s="18" t="s">
        <v>110</v>
      </c>
      <c r="F14" s="18" t="s">
        <v>62</v>
      </c>
      <c r="G14" s="19" t="s">
        <v>43</v>
      </c>
      <c r="H14" s="19"/>
      <c r="I14" s="18"/>
    </row>
    <row r="15" customFormat="false" ht="33.75" hidden="false" customHeight="true" outlineLevel="0" collapsed="false">
      <c r="A15" s="20" t="s">
        <v>111</v>
      </c>
      <c r="B15" s="21" t="s">
        <v>112</v>
      </c>
      <c r="C15" s="21" t="s">
        <v>113</v>
      </c>
      <c r="D15" s="21" t="s">
        <v>114</v>
      </c>
      <c r="E15" s="21" t="s">
        <v>115</v>
      </c>
      <c r="F15" s="21" t="s">
        <v>62</v>
      </c>
      <c r="G15" s="22" t="s">
        <v>43</v>
      </c>
      <c r="H15" s="22"/>
      <c r="I15" s="21"/>
    </row>
    <row r="16" customFormat="false" ht="33.75" hidden="false" customHeight="true" outlineLevel="0" collapsed="false">
      <c r="A16" s="17" t="s">
        <v>116</v>
      </c>
      <c r="B16" s="18" t="s">
        <v>112</v>
      </c>
      <c r="C16" s="18" t="s">
        <v>117</v>
      </c>
      <c r="D16" s="18" t="s">
        <v>118</v>
      </c>
      <c r="E16" s="18" t="s">
        <v>119</v>
      </c>
      <c r="F16" s="18" t="s">
        <v>62</v>
      </c>
      <c r="G16" s="19" t="s">
        <v>43</v>
      </c>
      <c r="H16" s="19"/>
      <c r="I16" s="18"/>
    </row>
    <row r="17" customFormat="false" ht="33.75" hidden="false" customHeight="true" outlineLevel="0" collapsed="false">
      <c r="A17" s="14" t="s">
        <v>120</v>
      </c>
      <c r="B17" s="15" t="s">
        <v>112</v>
      </c>
      <c r="C17" s="15" t="s">
        <v>121</v>
      </c>
      <c r="D17" s="15" t="s">
        <v>122</v>
      </c>
      <c r="E17" s="15" t="s">
        <v>123</v>
      </c>
      <c r="F17" s="15" t="s">
        <v>62</v>
      </c>
      <c r="G17" s="16" t="s">
        <v>43</v>
      </c>
      <c r="H17" s="16"/>
      <c r="I17" s="15"/>
    </row>
    <row r="18" customFormat="false" ht="33.75" hidden="false" customHeight="true" outlineLevel="0" collapsed="false">
      <c r="A18" s="17" t="s">
        <v>124</v>
      </c>
      <c r="B18" s="18" t="s">
        <v>112</v>
      </c>
      <c r="C18" s="18" t="s">
        <v>125</v>
      </c>
      <c r="D18" s="18" t="s">
        <v>126</v>
      </c>
      <c r="E18" s="18" t="s">
        <v>127</v>
      </c>
      <c r="F18" s="18" t="s">
        <v>62</v>
      </c>
      <c r="G18" s="19" t="s">
        <v>43</v>
      </c>
      <c r="H18" s="19"/>
      <c r="I18" s="18"/>
    </row>
    <row r="19" customFormat="false" ht="33.75" hidden="false" customHeight="true" outlineLevel="0" collapsed="false">
      <c r="A19" s="14" t="s">
        <v>128</v>
      </c>
      <c r="B19" s="15" t="s">
        <v>112</v>
      </c>
      <c r="C19" s="15" t="s">
        <v>129</v>
      </c>
      <c r="D19" s="15" t="s">
        <v>130</v>
      </c>
      <c r="E19" s="15" t="s">
        <v>131</v>
      </c>
      <c r="F19" s="15" t="s">
        <v>62</v>
      </c>
      <c r="G19" s="16" t="s">
        <v>43</v>
      </c>
      <c r="H19" s="16"/>
      <c r="I19" s="15"/>
    </row>
    <row r="20" customFormat="false" ht="33.75" hidden="false" customHeight="true" outlineLevel="0" collapsed="false">
      <c r="A20" s="17" t="s">
        <v>132</v>
      </c>
      <c r="B20" s="18" t="s">
        <v>112</v>
      </c>
      <c r="C20" s="18" t="s">
        <v>133</v>
      </c>
      <c r="D20" s="18" t="s">
        <v>134</v>
      </c>
      <c r="E20" s="18" t="s">
        <v>135</v>
      </c>
      <c r="F20" s="18" t="s">
        <v>62</v>
      </c>
      <c r="G20" s="19" t="s">
        <v>43</v>
      </c>
      <c r="H20" s="19"/>
      <c r="I20" s="18"/>
    </row>
    <row r="21" customFormat="false" ht="33.75" hidden="false" customHeight="true" outlineLevel="0" collapsed="false">
      <c r="A21" s="14" t="s">
        <v>136</v>
      </c>
      <c r="B21" s="15" t="s">
        <v>112</v>
      </c>
      <c r="C21" s="15" t="s">
        <v>137</v>
      </c>
      <c r="D21" s="15" t="s">
        <v>138</v>
      </c>
      <c r="E21" s="15" t="s">
        <v>139</v>
      </c>
      <c r="F21" s="15" t="s">
        <v>62</v>
      </c>
      <c r="G21" s="16" t="s">
        <v>43</v>
      </c>
      <c r="H21" s="16"/>
      <c r="I21" s="15"/>
    </row>
    <row r="22" customFormat="false" ht="33.75" hidden="false" customHeight="true" outlineLevel="0" collapsed="false">
      <c r="A22" s="17" t="s">
        <v>140</v>
      </c>
      <c r="B22" s="18" t="s">
        <v>112</v>
      </c>
      <c r="C22" s="18" t="s">
        <v>141</v>
      </c>
      <c r="D22" s="18" t="s">
        <v>142</v>
      </c>
      <c r="E22" s="18" t="s">
        <v>143</v>
      </c>
      <c r="F22" s="18" t="s">
        <v>62</v>
      </c>
      <c r="G22" s="19" t="s">
        <v>43</v>
      </c>
      <c r="H22" s="19"/>
      <c r="I22" s="18"/>
    </row>
    <row r="23" customFormat="false" ht="33.75" hidden="false" customHeight="true" outlineLevel="0" collapsed="false">
      <c r="A23" s="20" t="s">
        <v>144</v>
      </c>
      <c r="B23" s="21" t="s">
        <v>145</v>
      </c>
      <c r="C23" s="21" t="s">
        <v>146</v>
      </c>
      <c r="D23" s="21" t="s">
        <v>147</v>
      </c>
      <c r="E23" s="21" t="s">
        <v>148</v>
      </c>
      <c r="F23" s="21" t="s">
        <v>149</v>
      </c>
      <c r="G23" s="22" t="s">
        <v>44</v>
      </c>
      <c r="H23" s="23" t="s">
        <v>150</v>
      </c>
      <c r="I23" s="21" t="s">
        <v>90</v>
      </c>
    </row>
    <row r="24" customFormat="false" ht="33.75" hidden="false" customHeight="true" outlineLevel="0" collapsed="false">
      <c r="A24" s="17" t="s">
        <v>151</v>
      </c>
      <c r="B24" s="18" t="s">
        <v>145</v>
      </c>
      <c r="C24" s="18" t="s">
        <v>152</v>
      </c>
      <c r="D24" s="18" t="s">
        <v>153</v>
      </c>
      <c r="E24" s="18" t="s">
        <v>154</v>
      </c>
      <c r="F24" s="18" t="s">
        <v>149</v>
      </c>
      <c r="G24" s="19" t="s">
        <v>44</v>
      </c>
      <c r="H24" s="24" t="s">
        <v>150</v>
      </c>
      <c r="I24" s="18" t="s">
        <v>90</v>
      </c>
    </row>
    <row r="25" customFormat="false" ht="33.75" hidden="false" customHeight="true" outlineLevel="0" collapsed="false">
      <c r="A25" s="14" t="s">
        <v>155</v>
      </c>
      <c r="B25" s="15" t="s">
        <v>145</v>
      </c>
      <c r="C25" s="15" t="s">
        <v>156</v>
      </c>
      <c r="D25" s="15" t="s">
        <v>157</v>
      </c>
      <c r="E25" s="15" t="s">
        <v>158</v>
      </c>
      <c r="F25" s="15" t="s">
        <v>62</v>
      </c>
      <c r="G25" s="16" t="s">
        <v>43</v>
      </c>
      <c r="H25" s="16"/>
      <c r="I25" s="15"/>
    </row>
    <row r="26" customFormat="false" ht="33.75" hidden="false" customHeight="true" outlineLevel="0" collapsed="false">
      <c r="A26" s="17" t="s">
        <v>159</v>
      </c>
      <c r="B26" s="18" t="s">
        <v>145</v>
      </c>
      <c r="C26" s="18" t="s">
        <v>160</v>
      </c>
      <c r="D26" s="18" t="s">
        <v>161</v>
      </c>
      <c r="E26" s="18" t="s">
        <v>162</v>
      </c>
      <c r="F26" s="18" t="s">
        <v>62</v>
      </c>
      <c r="G26" s="19" t="s">
        <v>43</v>
      </c>
      <c r="H26" s="19"/>
      <c r="I26" s="18"/>
    </row>
    <row r="27" customFormat="false" ht="33.75" hidden="false" customHeight="true" outlineLevel="0" collapsed="false">
      <c r="A27" s="14" t="s">
        <v>163</v>
      </c>
      <c r="B27" s="15" t="s">
        <v>145</v>
      </c>
      <c r="C27" s="15" t="s">
        <v>164</v>
      </c>
      <c r="D27" s="15" t="s">
        <v>165</v>
      </c>
      <c r="E27" s="15" t="s">
        <v>166</v>
      </c>
      <c r="F27" s="15" t="s">
        <v>62</v>
      </c>
      <c r="G27" s="16" t="s">
        <v>43</v>
      </c>
      <c r="H27" s="16"/>
      <c r="I27" s="15"/>
    </row>
    <row r="28" customFormat="false" ht="33.75" hidden="false" customHeight="true" outlineLevel="0" collapsed="false">
      <c r="A28" s="17" t="s">
        <v>167</v>
      </c>
      <c r="B28" s="18" t="s">
        <v>145</v>
      </c>
      <c r="C28" s="18" t="s">
        <v>168</v>
      </c>
      <c r="D28" s="18" t="s">
        <v>169</v>
      </c>
      <c r="E28" s="18" t="s">
        <v>170</v>
      </c>
      <c r="F28" s="18" t="s">
        <v>62</v>
      </c>
      <c r="G28" s="19" t="s">
        <v>43</v>
      </c>
      <c r="H28" s="19"/>
      <c r="I28" s="18"/>
    </row>
    <row r="29" customFormat="false" ht="33.75" hidden="false" customHeight="true" outlineLevel="0" collapsed="false">
      <c r="A29" s="20" t="s">
        <v>171</v>
      </c>
      <c r="B29" s="21" t="s">
        <v>172</v>
      </c>
      <c r="C29" s="21" t="s">
        <v>173</v>
      </c>
      <c r="D29" s="21" t="s">
        <v>174</v>
      </c>
      <c r="E29" s="21" t="s">
        <v>175</v>
      </c>
      <c r="F29" s="21" t="s">
        <v>62</v>
      </c>
      <c r="G29" s="22" t="s">
        <v>43</v>
      </c>
      <c r="H29" s="22"/>
      <c r="I29" s="21"/>
    </row>
    <row r="30" customFormat="false" ht="33.75" hidden="false" customHeight="true" outlineLevel="0" collapsed="false">
      <c r="A30" s="17" t="s">
        <v>176</v>
      </c>
      <c r="B30" s="18" t="s">
        <v>172</v>
      </c>
      <c r="C30" s="18" t="s">
        <v>177</v>
      </c>
      <c r="D30" s="18" t="s">
        <v>178</v>
      </c>
      <c r="E30" s="18" t="s">
        <v>179</v>
      </c>
      <c r="F30" s="18" t="s">
        <v>62</v>
      </c>
      <c r="G30" s="19" t="s">
        <v>43</v>
      </c>
      <c r="H30" s="19"/>
      <c r="I30" s="18"/>
    </row>
    <row r="31" customFormat="false" ht="33.75" hidden="false" customHeight="true" outlineLevel="0" collapsed="false">
      <c r="A31" s="14" t="s">
        <v>180</v>
      </c>
      <c r="B31" s="15" t="s">
        <v>172</v>
      </c>
      <c r="C31" s="15" t="s">
        <v>181</v>
      </c>
      <c r="D31" s="15" t="s">
        <v>182</v>
      </c>
      <c r="E31" s="15" t="s">
        <v>183</v>
      </c>
      <c r="F31" s="15" t="s">
        <v>62</v>
      </c>
      <c r="G31" s="16" t="s">
        <v>43</v>
      </c>
      <c r="H31" s="16"/>
      <c r="I31" s="15"/>
    </row>
    <row r="32" customFormat="false" ht="33.75" hidden="false" customHeight="true" outlineLevel="0" collapsed="false">
      <c r="A32" s="17" t="s">
        <v>184</v>
      </c>
      <c r="B32" s="18" t="s">
        <v>172</v>
      </c>
      <c r="C32" s="18" t="s">
        <v>185</v>
      </c>
      <c r="D32" s="18" t="s">
        <v>186</v>
      </c>
      <c r="E32" s="18" t="s">
        <v>187</v>
      </c>
      <c r="F32" s="18" t="s">
        <v>188</v>
      </c>
      <c r="G32" s="19" t="s">
        <v>44</v>
      </c>
      <c r="H32" s="24" t="s">
        <v>189</v>
      </c>
      <c r="I32" s="18" t="s">
        <v>90</v>
      </c>
    </row>
    <row r="33" customFormat="false" ht="21.75" hidden="false" customHeight="true" outlineLevel="0" collapsed="false">
      <c r="A33" s="14" t="s">
        <v>190</v>
      </c>
      <c r="B33" s="15" t="s">
        <v>172</v>
      </c>
      <c r="C33" s="15" t="s">
        <v>191</v>
      </c>
      <c r="D33" s="15" t="s">
        <v>192</v>
      </c>
      <c r="E33" s="15" t="s">
        <v>193</v>
      </c>
      <c r="F33" s="15" t="s">
        <v>62</v>
      </c>
      <c r="G33" s="16" t="s">
        <v>43</v>
      </c>
      <c r="H33" s="16"/>
      <c r="I33" s="15"/>
    </row>
    <row r="34" customFormat="false" ht="33.75" hidden="false" customHeight="true" outlineLevel="0" collapsed="false">
      <c r="A34" s="17" t="s">
        <v>194</v>
      </c>
      <c r="B34" s="18" t="s">
        <v>172</v>
      </c>
      <c r="C34" s="18" t="s">
        <v>195</v>
      </c>
      <c r="D34" s="18" t="s">
        <v>196</v>
      </c>
      <c r="E34" s="18" t="s">
        <v>197</v>
      </c>
      <c r="F34" s="18" t="s">
        <v>62</v>
      </c>
      <c r="G34" s="19" t="s">
        <v>43</v>
      </c>
      <c r="H34" s="19"/>
      <c r="I34" s="18"/>
    </row>
    <row r="35" customFormat="false" ht="21.75" hidden="false" customHeight="true" outlineLevel="0" collapsed="false">
      <c r="A35" s="20" t="s">
        <v>198</v>
      </c>
      <c r="B35" s="21" t="s">
        <v>199</v>
      </c>
      <c r="C35" s="21" t="s">
        <v>200</v>
      </c>
      <c r="D35" s="21" t="s">
        <v>201</v>
      </c>
      <c r="E35" s="21" t="s">
        <v>202</v>
      </c>
      <c r="F35" s="21" t="s">
        <v>62</v>
      </c>
      <c r="G35" s="22" t="s">
        <v>43</v>
      </c>
      <c r="H35" s="22"/>
      <c r="I35" s="21"/>
    </row>
    <row r="36" customFormat="false" ht="33.75" hidden="false" customHeight="true" outlineLevel="0" collapsed="false">
      <c r="A36" s="17" t="s">
        <v>203</v>
      </c>
      <c r="B36" s="18" t="s">
        <v>199</v>
      </c>
      <c r="C36" s="18" t="s">
        <v>204</v>
      </c>
      <c r="D36" s="18" t="s">
        <v>205</v>
      </c>
      <c r="E36" s="18" t="s">
        <v>206</v>
      </c>
      <c r="F36" s="18" t="s">
        <v>62</v>
      </c>
      <c r="G36" s="19" t="s">
        <v>43</v>
      </c>
      <c r="H36" s="19"/>
      <c r="I36" s="18"/>
    </row>
    <row r="37" customFormat="false" ht="33.75" hidden="false" customHeight="true" outlineLevel="0" collapsed="false">
      <c r="A37" s="14" t="s">
        <v>207</v>
      </c>
      <c r="B37" s="15" t="s">
        <v>199</v>
      </c>
      <c r="C37" s="15" t="s">
        <v>208</v>
      </c>
      <c r="D37" s="15" t="s">
        <v>209</v>
      </c>
      <c r="E37" s="15" t="s">
        <v>210</v>
      </c>
      <c r="F37" s="15" t="s">
        <v>62</v>
      </c>
      <c r="G37" s="16" t="s">
        <v>43</v>
      </c>
      <c r="H37" s="16"/>
      <c r="I37" s="15"/>
    </row>
    <row r="38" customFormat="false" ht="33.75" hidden="false" customHeight="true" outlineLevel="0" collapsed="false">
      <c r="A38" s="17" t="s">
        <v>211</v>
      </c>
      <c r="B38" s="18" t="s">
        <v>199</v>
      </c>
      <c r="C38" s="18" t="s">
        <v>212</v>
      </c>
      <c r="D38" s="18" t="s">
        <v>213</v>
      </c>
      <c r="E38" s="18" t="s">
        <v>214</v>
      </c>
      <c r="F38" s="18" t="s">
        <v>62</v>
      </c>
      <c r="G38" s="19" t="s">
        <v>43</v>
      </c>
      <c r="H38" s="19"/>
      <c r="I38" s="18"/>
    </row>
    <row r="39" customFormat="false" ht="47.25" hidden="false" customHeight="true" outlineLevel="0" collapsed="false">
      <c r="A39" s="14" t="s">
        <v>215</v>
      </c>
      <c r="B39" s="15" t="s">
        <v>199</v>
      </c>
      <c r="C39" s="15" t="s">
        <v>216</v>
      </c>
      <c r="D39" s="15" t="s">
        <v>217</v>
      </c>
      <c r="E39" s="15" t="s">
        <v>218</v>
      </c>
      <c r="F39" s="15" t="s">
        <v>219</v>
      </c>
      <c r="G39" s="16" t="s">
        <v>44</v>
      </c>
      <c r="H39" s="25" t="s">
        <v>220</v>
      </c>
      <c r="I39" s="15" t="s">
        <v>90</v>
      </c>
    </row>
    <row r="40" customFormat="false" ht="33.75" hidden="false" customHeight="true" outlineLevel="0" collapsed="false">
      <c r="A40" s="17" t="s">
        <v>221</v>
      </c>
      <c r="B40" s="18" t="s">
        <v>199</v>
      </c>
      <c r="C40" s="18" t="s">
        <v>222</v>
      </c>
      <c r="D40" s="18" t="s">
        <v>223</v>
      </c>
      <c r="E40" s="18" t="s">
        <v>224</v>
      </c>
      <c r="F40" s="18" t="s">
        <v>62</v>
      </c>
      <c r="G40" s="19" t="s">
        <v>43</v>
      </c>
      <c r="H40" s="19"/>
      <c r="I40" s="18"/>
    </row>
    <row r="41" customFormat="false" ht="33.75" hidden="false" customHeight="true" outlineLevel="0" collapsed="false">
      <c r="A41" s="20" t="s">
        <v>225</v>
      </c>
      <c r="B41" s="21" t="s">
        <v>226</v>
      </c>
      <c r="C41" s="21" t="s">
        <v>227</v>
      </c>
      <c r="D41" s="21" t="s">
        <v>228</v>
      </c>
      <c r="E41" s="21" t="s">
        <v>229</v>
      </c>
      <c r="F41" s="21" t="s">
        <v>62</v>
      </c>
      <c r="G41" s="22" t="s">
        <v>43</v>
      </c>
      <c r="H41" s="22"/>
      <c r="I41" s="21"/>
    </row>
    <row r="42" customFormat="false" ht="33.75" hidden="false" customHeight="true" outlineLevel="0" collapsed="false">
      <c r="A42" s="17" t="s">
        <v>230</v>
      </c>
      <c r="B42" s="18" t="s">
        <v>226</v>
      </c>
      <c r="C42" s="18" t="s">
        <v>231</v>
      </c>
      <c r="D42" s="18" t="s">
        <v>232</v>
      </c>
      <c r="E42" s="18" t="s">
        <v>233</v>
      </c>
      <c r="F42" s="18" t="s">
        <v>62</v>
      </c>
      <c r="G42" s="19" t="s">
        <v>43</v>
      </c>
      <c r="H42" s="19"/>
      <c r="I42" s="18"/>
    </row>
    <row r="43" customFormat="false" ht="33.75" hidden="false" customHeight="true" outlineLevel="0" collapsed="false">
      <c r="A43" s="20" t="s">
        <v>234</v>
      </c>
      <c r="B43" s="21" t="s">
        <v>235</v>
      </c>
      <c r="C43" s="21" t="s">
        <v>236</v>
      </c>
      <c r="D43" s="21" t="s">
        <v>237</v>
      </c>
      <c r="E43" s="21" t="s">
        <v>238</v>
      </c>
      <c r="F43" s="21" t="s">
        <v>62</v>
      </c>
      <c r="G43" s="22" t="s">
        <v>43</v>
      </c>
      <c r="H43" s="22"/>
      <c r="I43" s="21"/>
    </row>
    <row r="44" customFormat="false" ht="33.75" hidden="false" customHeight="true" outlineLevel="0" collapsed="false">
      <c r="A44" s="17" t="s">
        <v>239</v>
      </c>
      <c r="B44" s="18" t="s">
        <v>235</v>
      </c>
      <c r="C44" s="18" t="s">
        <v>240</v>
      </c>
      <c r="D44" s="18" t="s">
        <v>241</v>
      </c>
      <c r="E44" s="18" t="s">
        <v>242</v>
      </c>
      <c r="F44" s="18" t="s">
        <v>62</v>
      </c>
      <c r="G44" s="19" t="s">
        <v>43</v>
      </c>
      <c r="H44" s="19"/>
      <c r="I44" s="18"/>
    </row>
    <row r="45" customFormat="false" ht="21.75" hidden="false" customHeight="true" outlineLevel="0" collapsed="false">
      <c r="A45" s="14" t="s">
        <v>243</v>
      </c>
      <c r="B45" s="15" t="s">
        <v>235</v>
      </c>
      <c r="C45" s="15" t="s">
        <v>244</v>
      </c>
      <c r="D45" s="15" t="s">
        <v>245</v>
      </c>
      <c r="E45" s="15" t="s">
        <v>246</v>
      </c>
      <c r="F45" s="15" t="s">
        <v>62</v>
      </c>
      <c r="G45" s="16" t="s">
        <v>43</v>
      </c>
      <c r="H45" s="16"/>
      <c r="I45" s="15"/>
    </row>
    <row r="46" customFormat="false" ht="33.75" hidden="false" customHeight="true" outlineLevel="0" collapsed="false">
      <c r="A46" s="17" t="s">
        <v>247</v>
      </c>
      <c r="B46" s="18" t="s">
        <v>235</v>
      </c>
      <c r="C46" s="18" t="s">
        <v>248</v>
      </c>
      <c r="D46" s="18" t="s">
        <v>249</v>
      </c>
      <c r="E46" s="18" t="s">
        <v>250</v>
      </c>
      <c r="F46" s="18" t="s">
        <v>62</v>
      </c>
      <c r="G46" s="19" t="s">
        <v>43</v>
      </c>
      <c r="H46" s="19"/>
      <c r="I46" s="18"/>
    </row>
    <row r="47" customFormat="false" ht="33.75" hidden="false" customHeight="true" outlineLevel="0" collapsed="false">
      <c r="A47" s="14" t="s">
        <v>251</v>
      </c>
      <c r="B47" s="15" t="s">
        <v>235</v>
      </c>
      <c r="C47" s="15" t="s">
        <v>252</v>
      </c>
      <c r="D47" s="15" t="s">
        <v>253</v>
      </c>
      <c r="E47" s="15" t="s">
        <v>254</v>
      </c>
      <c r="F47" s="15" t="s">
        <v>62</v>
      </c>
      <c r="G47" s="16" t="s">
        <v>43</v>
      </c>
      <c r="H47" s="16"/>
      <c r="I47" s="15"/>
    </row>
    <row r="48" customFormat="false" ht="33.75" hidden="false" customHeight="true" outlineLevel="0" collapsed="false">
      <c r="A48" s="26" t="s">
        <v>255</v>
      </c>
      <c r="B48" s="27" t="s">
        <v>256</v>
      </c>
      <c r="C48" s="27" t="s">
        <v>257</v>
      </c>
      <c r="D48" s="27" t="s">
        <v>258</v>
      </c>
      <c r="E48" s="27" t="s">
        <v>259</v>
      </c>
      <c r="F48" s="27" t="s">
        <v>62</v>
      </c>
      <c r="G48" s="28" t="s">
        <v>43</v>
      </c>
      <c r="H48" s="28"/>
      <c r="I48" s="27"/>
    </row>
    <row r="49" customFormat="false" ht="33.75" hidden="false" customHeight="true" outlineLevel="0" collapsed="false">
      <c r="A49" s="14" t="s">
        <v>260</v>
      </c>
      <c r="B49" s="15" t="s">
        <v>256</v>
      </c>
      <c r="C49" s="15" t="s">
        <v>261</v>
      </c>
      <c r="D49" s="15" t="s">
        <v>262</v>
      </c>
      <c r="E49" s="15" t="s">
        <v>263</v>
      </c>
      <c r="F49" s="15" t="s">
        <v>62</v>
      </c>
      <c r="G49" s="16" t="s">
        <v>43</v>
      </c>
      <c r="H49" s="16"/>
      <c r="I49" s="15"/>
    </row>
    <row r="50" customFormat="false" ht="33.75" hidden="false" customHeight="true" outlineLevel="0" collapsed="false">
      <c r="A50" s="17" t="s">
        <v>264</v>
      </c>
      <c r="B50" s="18" t="s">
        <v>256</v>
      </c>
      <c r="C50" s="18" t="s">
        <v>265</v>
      </c>
      <c r="D50" s="18" t="s">
        <v>266</v>
      </c>
      <c r="E50" s="18" t="s">
        <v>267</v>
      </c>
      <c r="F50" s="18" t="s">
        <v>62</v>
      </c>
      <c r="G50" s="19" t="s">
        <v>43</v>
      </c>
      <c r="H50" s="19"/>
      <c r="I50" s="18"/>
    </row>
    <row r="51" customFormat="false" ht="33.75" hidden="false" customHeight="true" outlineLevel="0" collapsed="false">
      <c r="A51" s="14" t="s">
        <v>268</v>
      </c>
      <c r="B51" s="15" t="s">
        <v>256</v>
      </c>
      <c r="C51" s="15" t="s">
        <v>269</v>
      </c>
      <c r="D51" s="15" t="s">
        <v>270</v>
      </c>
      <c r="E51" s="15" t="s">
        <v>271</v>
      </c>
      <c r="F51" s="15" t="s">
        <v>62</v>
      </c>
      <c r="G51" s="16" t="s">
        <v>43</v>
      </c>
      <c r="H51" s="16"/>
      <c r="I51" s="15"/>
    </row>
    <row r="52" customFormat="false" ht="33.75" hidden="false" customHeight="true" outlineLevel="0" collapsed="false">
      <c r="A52" s="17" t="s">
        <v>272</v>
      </c>
      <c r="B52" s="18" t="s">
        <v>256</v>
      </c>
      <c r="C52" s="18" t="s">
        <v>273</v>
      </c>
      <c r="D52" s="18" t="s">
        <v>274</v>
      </c>
      <c r="E52" s="18" t="s">
        <v>275</v>
      </c>
      <c r="F52" s="18" t="s">
        <v>62</v>
      </c>
      <c r="G52" s="19" t="s">
        <v>43</v>
      </c>
      <c r="H52" s="19"/>
      <c r="I52" s="18"/>
    </row>
    <row r="53" customFormat="false" ht="33.75" hidden="false" customHeight="true" outlineLevel="0" collapsed="false">
      <c r="A53" s="20" t="s">
        <v>276</v>
      </c>
      <c r="B53" s="21" t="s">
        <v>277</v>
      </c>
      <c r="C53" s="21" t="s">
        <v>278</v>
      </c>
      <c r="D53" s="21" t="s">
        <v>279</v>
      </c>
      <c r="E53" s="21" t="s">
        <v>280</v>
      </c>
      <c r="F53" s="21" t="s">
        <v>62</v>
      </c>
      <c r="G53" s="22" t="s">
        <v>43</v>
      </c>
      <c r="H53" s="22"/>
      <c r="I53" s="21"/>
    </row>
    <row r="54" customFormat="false" ht="33.75" hidden="false" customHeight="true" outlineLevel="0" collapsed="false">
      <c r="A54" s="17" t="s">
        <v>281</v>
      </c>
      <c r="B54" s="18" t="s">
        <v>277</v>
      </c>
      <c r="C54" s="18" t="s">
        <v>282</v>
      </c>
      <c r="D54" s="18" t="s">
        <v>283</v>
      </c>
      <c r="E54" s="18" t="s">
        <v>284</v>
      </c>
      <c r="F54" s="18" t="s">
        <v>62</v>
      </c>
      <c r="G54" s="19" t="s">
        <v>43</v>
      </c>
      <c r="H54" s="19"/>
      <c r="I54" s="18"/>
    </row>
    <row r="55" customFormat="false" ht="33.75" hidden="false" customHeight="true" outlineLevel="0" collapsed="false">
      <c r="A55" s="14" t="s">
        <v>285</v>
      </c>
      <c r="B55" s="15" t="s">
        <v>277</v>
      </c>
      <c r="C55" s="15" t="s">
        <v>286</v>
      </c>
      <c r="D55" s="15" t="s">
        <v>287</v>
      </c>
      <c r="E55" s="15" t="s">
        <v>288</v>
      </c>
      <c r="F55" s="15" t="s">
        <v>62</v>
      </c>
      <c r="G55" s="16" t="s">
        <v>43</v>
      </c>
      <c r="H55" s="16"/>
      <c r="I55" s="15"/>
    </row>
    <row r="56" customFormat="false" ht="33.75" hidden="false" customHeight="true" outlineLevel="0" collapsed="false">
      <c r="A56" s="17" t="s">
        <v>289</v>
      </c>
      <c r="B56" s="18" t="s">
        <v>277</v>
      </c>
      <c r="C56" s="18" t="s">
        <v>290</v>
      </c>
      <c r="D56" s="18" t="s">
        <v>291</v>
      </c>
      <c r="E56" s="18" t="s">
        <v>292</v>
      </c>
      <c r="F56" s="18" t="s">
        <v>62</v>
      </c>
      <c r="G56" s="19" t="s">
        <v>43</v>
      </c>
      <c r="H56" s="19"/>
      <c r="I56" s="18"/>
    </row>
    <row r="57" customFormat="false" ht="33.75" hidden="false" customHeight="true" outlineLevel="0" collapsed="false">
      <c r="A57" s="14" t="s">
        <v>293</v>
      </c>
      <c r="B57" s="15" t="s">
        <v>277</v>
      </c>
      <c r="C57" s="15" t="s">
        <v>294</v>
      </c>
      <c r="D57" s="15" t="s">
        <v>295</v>
      </c>
      <c r="E57" s="15" t="s">
        <v>296</v>
      </c>
      <c r="F57" s="15" t="s">
        <v>62</v>
      </c>
      <c r="G57" s="16" t="s">
        <v>43</v>
      </c>
      <c r="H57" s="16"/>
      <c r="I57" s="15"/>
    </row>
    <row r="58" customFormat="false" ht="33.75" hidden="false" customHeight="true" outlineLevel="0" collapsed="false">
      <c r="A58" s="17" t="s">
        <v>297</v>
      </c>
      <c r="B58" s="18" t="s">
        <v>277</v>
      </c>
      <c r="C58" s="18" t="s">
        <v>298</v>
      </c>
      <c r="D58" s="18" t="s">
        <v>299</v>
      </c>
      <c r="E58" s="18" t="s">
        <v>300</v>
      </c>
      <c r="F58" s="18" t="s">
        <v>62</v>
      </c>
      <c r="G58" s="19" t="s">
        <v>43</v>
      </c>
      <c r="H58" s="19"/>
      <c r="I58" s="18"/>
    </row>
  </sheetData>
  <autoFilter ref="A2:I62"/>
  <mergeCells count="1">
    <mergeCell ref="A1:I1"/>
  </mergeCells>
  <conditionalFormatting sqref="G3:G62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"FAIL"</formula>
    </cfRule>
    <cfRule type="cellIs" priority="4" operator="equal" aboveAverage="0" equalAverage="0" bottom="0" percent="0" rank="0" text="" dxfId="13">
      <formula>"SKIPPED"</formula>
    </cfRule>
  </conditionalFormatting>
  <dataValidations count="1">
    <dataValidation allowBlank="true" error="Choose PASS, FAIL or SKIPPED." errorStyle="stop" errorTitle="Invalid status" operator="between" showDropDown="false" showErrorMessage="false" showInputMessage="false" sqref="G3:G62" type="list">
      <formula1>"PASS,FAIL,SKIPPED"</formula1>
      <formula2>0</formula2>
    </dataValidation>
  </dataValidations>
  <hyperlinks>
    <hyperlink ref="H9" location="'Bug Reports'!A6" display="GAME-BUG-004"/>
    <hyperlink ref="H23" location="'Bug Reports'!A3" display="GAME-BUG-001"/>
    <hyperlink ref="H24" location="'Bug Reports'!A3" display="GAME-BUG-001"/>
    <hyperlink ref="H32" location="'Bug Reports'!A4" display="GAME-BUG-002"/>
    <hyperlink ref="H39" location="'Bug Reports'!A5" display="GAME-BUG-00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10" activeCellId="0" sqref="K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44"/>
    <col collapsed="false" customWidth="true" hidden="false" outlineLevel="0" max="8" min="7" style="1" width="36"/>
    <col collapsed="false" customWidth="true" hidden="false" outlineLevel="0" max="10" min="9" style="1" width="12"/>
    <col collapsed="false" customWidth="true" hidden="false" outlineLevel="0" max="11" min="11" style="1" width="22"/>
    <col collapsed="false" customWidth="true" hidden="false" outlineLevel="0" max="12" min="12" style="1" width="20"/>
  </cols>
  <sheetData>
    <row r="1" customFormat="false" ht="36" hidden="false" customHeight="true" outlineLevel="0" collapsed="false">
      <c r="A1" s="12" t="s">
        <v>301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27.75" hidden="false" customHeight="true" outlineLevel="0" collapsed="false">
      <c r="A2" s="13" t="s">
        <v>55</v>
      </c>
      <c r="B2" s="13" t="s">
        <v>302</v>
      </c>
      <c r="C2" s="13" t="s">
        <v>49</v>
      </c>
      <c r="D2" s="13" t="s">
        <v>303</v>
      </c>
      <c r="E2" s="13" t="s">
        <v>304</v>
      </c>
      <c r="F2" s="13" t="s">
        <v>305</v>
      </c>
      <c r="G2" s="13" t="s">
        <v>52</v>
      </c>
      <c r="H2" s="13" t="s">
        <v>53</v>
      </c>
      <c r="I2" s="13" t="s">
        <v>306</v>
      </c>
      <c r="J2" s="13" t="s">
        <v>307</v>
      </c>
      <c r="K2" s="13" t="s">
        <v>54</v>
      </c>
      <c r="L2" s="13" t="s">
        <v>308</v>
      </c>
    </row>
    <row r="3" customFormat="false" ht="73.5" hidden="false" customHeight="true" outlineLevel="0" collapsed="false">
      <c r="A3" s="14" t="s">
        <v>150</v>
      </c>
      <c r="B3" s="29" t="s">
        <v>309</v>
      </c>
      <c r="C3" s="15" t="s">
        <v>310</v>
      </c>
      <c r="D3" s="15" t="s">
        <v>311</v>
      </c>
      <c r="E3" s="15" t="s">
        <v>312</v>
      </c>
      <c r="F3" s="15" t="s">
        <v>313</v>
      </c>
      <c r="G3" s="15" t="s">
        <v>314</v>
      </c>
      <c r="H3" s="15" t="s">
        <v>315</v>
      </c>
      <c r="I3" s="16" t="s">
        <v>316</v>
      </c>
      <c r="J3" s="16" t="s">
        <v>317</v>
      </c>
      <c r="K3" s="30" t="s">
        <v>318</v>
      </c>
      <c r="L3" s="31" t="s">
        <v>319</v>
      </c>
    </row>
    <row r="4" customFormat="false" ht="73.5" hidden="false" customHeight="true" outlineLevel="0" collapsed="false">
      <c r="A4" s="17" t="s">
        <v>189</v>
      </c>
      <c r="B4" s="32" t="s">
        <v>320</v>
      </c>
      <c r="C4" s="18" t="s">
        <v>321</v>
      </c>
      <c r="D4" s="15" t="s">
        <v>311</v>
      </c>
      <c r="E4" s="18" t="s">
        <v>322</v>
      </c>
      <c r="F4" s="18" t="s">
        <v>323</v>
      </c>
      <c r="G4" s="18" t="s">
        <v>324</v>
      </c>
      <c r="H4" s="18" t="s">
        <v>325</v>
      </c>
      <c r="I4" s="19" t="s">
        <v>316</v>
      </c>
      <c r="J4" s="19" t="s">
        <v>326</v>
      </c>
      <c r="K4" s="30" t="s">
        <v>318</v>
      </c>
      <c r="L4" s="33" t="s">
        <v>319</v>
      </c>
    </row>
    <row r="5" customFormat="false" ht="60.75" hidden="false" customHeight="true" outlineLevel="0" collapsed="false">
      <c r="A5" s="14" t="s">
        <v>220</v>
      </c>
      <c r="B5" s="29" t="s">
        <v>327</v>
      </c>
      <c r="C5" s="15" t="s">
        <v>328</v>
      </c>
      <c r="D5" s="15" t="s">
        <v>311</v>
      </c>
      <c r="E5" s="15" t="s">
        <v>329</v>
      </c>
      <c r="F5" s="15" t="s">
        <v>330</v>
      </c>
      <c r="G5" s="15" t="s">
        <v>331</v>
      </c>
      <c r="H5" s="15" t="s">
        <v>332</v>
      </c>
      <c r="I5" s="16" t="s">
        <v>333</v>
      </c>
      <c r="J5" s="16" t="s">
        <v>326</v>
      </c>
      <c r="K5" s="30" t="s">
        <v>318</v>
      </c>
      <c r="L5" s="33" t="s">
        <v>319</v>
      </c>
    </row>
    <row r="6" customFormat="false" ht="60.75" hidden="false" customHeight="true" outlineLevel="0" collapsed="false">
      <c r="A6" s="17" t="s">
        <v>89</v>
      </c>
      <c r="B6" s="32" t="s">
        <v>334</v>
      </c>
      <c r="C6" s="18" t="s">
        <v>335</v>
      </c>
      <c r="D6" s="15" t="s">
        <v>311</v>
      </c>
      <c r="E6" s="18" t="s">
        <v>336</v>
      </c>
      <c r="F6" s="18" t="s">
        <v>337</v>
      </c>
      <c r="G6" s="18" t="s">
        <v>338</v>
      </c>
      <c r="H6" s="18" t="s">
        <v>339</v>
      </c>
      <c r="I6" s="19" t="s">
        <v>316</v>
      </c>
      <c r="J6" s="19" t="s">
        <v>317</v>
      </c>
      <c r="K6" s="30" t="s">
        <v>318</v>
      </c>
      <c r="L6" s="33" t="s">
        <v>319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2:L6"/>
  <mergeCells count="1">
    <mergeCell ref="A1:L1"/>
  </mergeCells>
  <conditionalFormatting sqref="I3:I60">
    <cfRule type="cellIs" priority="2" operator="equal" aboveAverage="0" equalAverage="0" bottom="0" percent="0" rank="0" text="" dxfId="20">
      <formula>"Critical"</formula>
    </cfRule>
    <cfRule type="cellIs" priority="3" operator="equal" aboveAverage="0" equalAverage="0" bottom="0" percent="0" rank="0" text="" dxfId="21">
      <formula>"Major"</formula>
    </cfRule>
    <cfRule type="cellIs" priority="4" operator="equal" aboveAverage="0" equalAverage="0" bottom="0" percent="0" rank="0" text="" dxfId="22">
      <formula>"Minor"</formula>
    </cfRule>
    <cfRule type="cellIs" priority="5" operator="equal" aboveAverage="0" equalAverage="0" bottom="0" percent="0" rank="0" text="" dxfId="23">
      <formula>"Trivial"</formula>
    </cfRule>
  </conditionalFormatting>
  <conditionalFormatting sqref="J3:J60">
    <cfRule type="cellIs" priority="6" operator="equal" aboveAverage="0" equalAverage="0" bottom="0" percent="0" rank="0" text="" dxfId="13">
      <formula>"High"</formula>
    </cfRule>
    <cfRule type="cellIs" priority="7" operator="equal" aboveAverage="0" equalAverage="0" bottom="0" percent="0" rank="0" text="" dxfId="24">
      <formula>"Medium"</formula>
    </cfRule>
    <cfRule type="cellIs" priority="8" operator="equal" aboveAverage="0" equalAverage="0" bottom="0" percent="0" rank="0" text="" dxfId="12">
      <formula>"Low"</formula>
    </cfRule>
  </conditionalFormatting>
  <hyperlinks>
    <hyperlink ref="L3" r:id="rId1" display="▶ Open evidence"/>
    <hyperlink ref="L4" r:id="rId2" display="▶ Open evidence"/>
    <hyperlink ref="L5" r:id="rId3" display="▶ Open evidence"/>
    <hyperlink ref="L6" r:id="rId4" display="▶ Open evidenc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Roman,Regularna"&amp;12&amp;Kffffff&amp;A</oddHeader>
    <oddFooter>&amp;C&amp;"Times New Roman,Regularna"&amp;12&amp;KffffffStrona &amp;P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2026-10-19T11:31:46Z</dcterms:created>
  <dc:creator>openpyxl</dc:creator>
  <dc:description/>
  <dc:language>pl-PL</dc:language>
  <cp:lastModifiedBy/>
  <dcterms:modified xsi:type="dcterms:W3CDTF">2026-10-19T14:32:52Z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