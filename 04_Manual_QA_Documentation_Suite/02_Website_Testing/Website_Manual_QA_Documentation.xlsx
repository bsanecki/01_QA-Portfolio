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Overview" sheetId="1" state="visible" r:id="rId3"/>
    <sheet name="Web Test Cases" sheetId="2" state="visible" r:id="rId4"/>
    <sheet name="API Tests" sheetId="3" state="visible" r:id="rId5"/>
    <sheet name="Bug Reports" sheetId="4" state="visible" r:id="rId6"/>
  </sheets>
  <definedNames>
    <definedName function="false" hidden="true" localSheetId="2" name="_xlnm._FilterDatabase" vbProcedure="false">'API Tests'!$A$2:$L$16</definedName>
    <definedName function="false" hidden="true" localSheetId="1" name="_xlnm._FilterDatabase" vbProcedure="false">'Web Test Cases'!$A$2:$I$28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<sst xmlns="http://schemas.openxmlformats.org/spreadsheetml/2006/main" count="494" uniqueCount="331">
  <si>
    <t xml:space="preserve">WEBSITE MANUAL QA AND API TESTING | TEST REPORT</t>
  </si>
  <si>
    <t xml:space="preserve">PROJECT DETAILS</t>
  </si>
  <si>
    <t xml:space="preserve">Project</t>
  </si>
  <si>
    <t xml:space="preserve">Website Manual QA and API Testing</t>
  </si>
  <si>
    <t xml:space="preserve">Application</t>
  </si>
  <si>
    <t xml:space="preserve">Automation Exercise (web shop)</t>
  </si>
  <si>
    <t xml:space="preserve">Website URL</t>
  </si>
  <si>
    <t xml:space="preserve">https://automationexercise.com/</t>
  </si>
  <si>
    <t xml:space="preserve">Web Test Case Reference</t>
  </si>
  <si>
    <t xml:space="preserve">https://automationexercise.com/test_cases</t>
  </si>
  <si>
    <t xml:space="preserve">API Test Reference</t>
  </si>
  <si>
    <t xml:space="preserve">https://automationexercise.com/api_list</t>
  </si>
  <si>
    <t xml:space="preserve">Testing Types</t>
  </si>
  <si>
    <t xml:space="preserve">Manual functional testing (website) and API testing with Postman.</t>
  </si>
  <si>
    <t xml:space="preserve">Test Environment</t>
  </si>
  <si>
    <t xml:space="preserve">Browser: Chromium. OS: Fedora Linux 44. API testing: Postman.</t>
  </si>
  <si>
    <t xml:space="preserve">Execution Status</t>
  </si>
  <si>
    <t xml:space="preserve">Executed. API-007 is blocked because no valid login credentials are available.</t>
  </si>
  <si>
    <t xml:space="preserve">Scope</t>
  </si>
  <si>
    <t xml:space="preserve">26 website test scenarios and 14 API scenarios listed by Automation Exercise.</t>
  </si>
  <si>
    <t xml:space="preserve">Tools</t>
  </si>
  <si>
    <t xml:space="preserve">Chromium, Microsoft Excel or LibreOffice Calc, Postman, Loom (evidence recordings).</t>
  </si>
  <si>
    <t xml:space="preserve">Documentation Notes</t>
  </si>
  <si>
    <t xml:space="preserve">Detailed steps for each case are on the official reference pages, linked in the Web Test Cases and API Tests sheets. Only the two observed website issues are listed in Bug Reports. The API under test is a demo learning API with limited account persistence, so API observations are recorded in Tester Notes and not reported as defects.</t>
  </si>
  <si>
    <t xml:space="preserve">TEST EXECUTION SUMMARY</t>
  </si>
  <si>
    <t xml:space="preserve">Area</t>
  </si>
  <si>
    <t xml:space="preserve">Total</t>
  </si>
  <si>
    <t xml:space="preserve">Pass</t>
  </si>
  <si>
    <t xml:space="preserve">Fail</t>
  </si>
  <si>
    <t xml:space="preserve">Blocked</t>
  </si>
  <si>
    <t xml:space="preserve">Pass Rate</t>
  </si>
  <si>
    <t xml:space="preserve">Website test cases</t>
  </si>
  <si>
    <t xml:space="preserve">API test cases</t>
  </si>
  <si>
    <t xml:space="preserve">DEFECT SUMMARY</t>
  </si>
  <si>
    <t xml:space="preserve">Bug ID</t>
  </si>
  <si>
    <t xml:space="preserve">Bug Title</t>
  </si>
  <si>
    <t xml:space="preserve">Severity</t>
  </si>
  <si>
    <t xml:space="preserve">Priority</t>
  </si>
  <si>
    <t xml:space="preserve">Status</t>
  </si>
  <si>
    <t xml:space="preserve">Evidence</t>
  </si>
  <si>
    <t xml:space="preserve">BUG-WEB-001</t>
  </si>
  <si>
    <t xml:space="preserve">Loom recording</t>
  </si>
  <si>
    <t xml:space="preserve">BUG-WEB-002</t>
  </si>
  <si>
    <t xml:space="preserve">Total defects</t>
  </si>
  <si>
    <t xml:space="preserve">Open defects</t>
  </si>
  <si>
    <t xml:space="preserve">API OBSERVATIONS (NOT REPORTED AS DEFECTS)</t>
  </si>
  <si>
    <t xml:space="preserve">API-012 / API-014</t>
  </si>
  <si>
    <t xml:space="preserve">After DELETE returned 'Account deleted!', GET by email still returned the account. The demo API may not persist account state.</t>
  </si>
  <si>
    <t xml:space="preserve">API-003</t>
  </si>
  <si>
    <t xml:space="preserve">The brands list contains some repeated brand names.</t>
  </si>
  <si>
    <t xml:space="preserve">WEBSITE MANUAL TEST CASES</t>
  </si>
  <si>
    <t xml:space="preserve">Test Case ID</t>
  </si>
  <si>
    <t xml:space="preserve">Test Area</t>
  </si>
  <si>
    <t xml:space="preserve">Scenario</t>
  </si>
  <si>
    <t xml:space="preserve">Reference</t>
  </si>
  <si>
    <t xml:space="preserve">Expected Result</t>
  </si>
  <si>
    <t xml:space="preserve">Actual Result</t>
  </si>
  <si>
    <t xml:space="preserve">Related Bug</t>
  </si>
  <si>
    <t xml:space="preserve">Tester Notes</t>
  </si>
  <si>
    <t xml:space="preserve">TC-001</t>
  </si>
  <si>
    <t xml:space="preserve">User Account</t>
  </si>
  <si>
    <t xml:space="preserve">Register User</t>
  </si>
  <si>
    <t xml:space="preserve">Site test case #1</t>
  </si>
  <si>
    <t xml:space="preserve">Verify account registration with valid details.</t>
  </si>
  <si>
    <t xml:space="preserve">Matches the expected result.</t>
  </si>
  <si>
    <t xml:space="preserve">No issue observed.</t>
  </si>
  <si>
    <t xml:space="preserve">TC-002</t>
  </si>
  <si>
    <t xml:space="preserve">Authentication</t>
  </si>
  <si>
    <t xml:space="preserve">Login User with correct email and password</t>
  </si>
  <si>
    <t xml:space="preserve">Site test case #2</t>
  </si>
  <si>
    <t xml:space="preserve">Verify login with valid credentials.</t>
  </si>
  <si>
    <t xml:space="preserve">TC-003</t>
  </si>
  <si>
    <t xml:space="preserve">Login User with incorrect email and password</t>
  </si>
  <si>
    <t xml:space="preserve">Site test case #3</t>
  </si>
  <si>
    <t xml:space="preserve">Verify invalid credentials are rejected.</t>
  </si>
  <si>
    <t xml:space="preserve">TC-004</t>
  </si>
  <si>
    <t xml:space="preserve">Logout User</t>
  </si>
  <si>
    <t xml:space="preserve">Site test case #4</t>
  </si>
  <si>
    <t xml:space="preserve">Verify a logged-in user can log out.</t>
  </si>
  <si>
    <t xml:space="preserve">Logout succeeds, but the user is not redirected to the Home page.</t>
  </si>
  <si>
    <t xml:space="preserve">Reproducible. Details and Loom recording: see BUG-WEB-001 in Bug Reports.</t>
  </si>
  <si>
    <t xml:space="preserve">TC-005</t>
  </si>
  <si>
    <t xml:space="preserve">Register User with existing email</t>
  </si>
  <si>
    <t xml:space="preserve">Site test case #5</t>
  </si>
  <si>
    <t xml:space="preserve">Verify duplicate email registration is prevented.</t>
  </si>
  <si>
    <t xml:space="preserve">TC-006</t>
  </si>
  <si>
    <t xml:space="preserve">Contact Form</t>
  </si>
  <si>
    <t xml:space="preserve">Contact Us Form</t>
  </si>
  <si>
    <t xml:space="preserve">Site test case #6</t>
  </si>
  <si>
    <t xml:space="preserve">Verify Contact Us form submission and validation.</t>
  </si>
  <si>
    <t xml:space="preserve">TC-007</t>
  </si>
  <si>
    <t xml:space="preserve">Navigation</t>
  </si>
  <si>
    <t xml:space="preserve">Verify Test Cases Page</t>
  </si>
  <si>
    <t xml:space="preserve">Site test case #7</t>
  </si>
  <si>
    <t xml:space="preserve">Verify the Test Cases page opens correctly.</t>
  </si>
  <si>
    <t xml:space="preserve">TC-008</t>
  </si>
  <si>
    <t xml:space="preserve">Products</t>
  </si>
  <si>
    <t xml:space="preserve">Verify All Products and product detail page</t>
  </si>
  <si>
    <t xml:space="preserve">Site test case #8</t>
  </si>
  <si>
    <t xml:space="preserve">Verify the products listing and product details.</t>
  </si>
  <si>
    <t xml:space="preserve">TC-009</t>
  </si>
  <si>
    <t xml:space="preserve">Search Product</t>
  </si>
  <si>
    <t xml:space="preserve">Site test case #9</t>
  </si>
  <si>
    <t xml:space="preserve">Verify product search returns relevant results.</t>
  </si>
  <si>
    <t xml:space="preserve">TC-010</t>
  </si>
  <si>
    <t xml:space="preserve">Subscription</t>
  </si>
  <si>
    <t xml:space="preserve">Verify Subscription in home page</t>
  </si>
  <si>
    <t xml:space="preserve">Site test case #10</t>
  </si>
  <si>
    <t xml:space="preserve">Verify subscription on the home page.</t>
  </si>
  <si>
    <t xml:space="preserve">TC-011</t>
  </si>
  <si>
    <t xml:space="preserve">Verify Subscription in Cart page</t>
  </si>
  <si>
    <t xml:space="preserve">Site test case #11</t>
  </si>
  <si>
    <t xml:space="preserve">Verify subscription on the Cart page.</t>
  </si>
  <si>
    <t xml:space="preserve">TC-012</t>
  </si>
  <si>
    <t xml:space="preserve">Shopping Cart</t>
  </si>
  <si>
    <t xml:space="preserve">Add Products in Cart</t>
  </si>
  <si>
    <t xml:space="preserve">Site test case #12</t>
  </si>
  <si>
    <t xml:space="preserve">Verify products can be added to the cart.</t>
  </si>
  <si>
    <t xml:space="preserve">TC-013</t>
  </si>
  <si>
    <t xml:space="preserve">Verify Product quantity in Cart</t>
  </si>
  <si>
    <t xml:space="preserve">Site test case #13</t>
  </si>
  <si>
    <t xml:space="preserve">Verify product quantity in the cart.</t>
  </si>
  <si>
    <t xml:space="preserve">TC-014</t>
  </si>
  <si>
    <t xml:space="preserve">Checkout</t>
  </si>
  <si>
    <t xml:space="preserve">Place Order: Register while Checkout</t>
  </si>
  <si>
    <t xml:space="preserve">Site test case #14</t>
  </si>
  <si>
    <t xml:space="preserve">Verify checkout with registration during checkout.</t>
  </si>
  <si>
    <t xml:space="preserve">TC-015</t>
  </si>
  <si>
    <t xml:space="preserve">Place Order: Register before Checkout</t>
  </si>
  <si>
    <t xml:space="preserve">Site test case #15</t>
  </si>
  <si>
    <t xml:space="preserve">Verify checkout after registering beforehand.</t>
  </si>
  <si>
    <t xml:space="preserve">TC-016</t>
  </si>
  <si>
    <t xml:space="preserve">Place Order: Login before Checkout</t>
  </si>
  <si>
    <t xml:space="preserve">Site test case #16</t>
  </si>
  <si>
    <t xml:space="preserve">Verify checkout after logging in.</t>
  </si>
  <si>
    <t xml:space="preserve">TC-017</t>
  </si>
  <si>
    <t xml:space="preserve">Remove Products From Cart</t>
  </si>
  <si>
    <t xml:space="preserve">Site test case #17</t>
  </si>
  <si>
    <t xml:space="preserve">Verify products can be removed from the cart.</t>
  </si>
  <si>
    <t xml:space="preserve">After all items are removed from the cart and the user navigates away, returning to Cart restores the removed items.</t>
  </si>
  <si>
    <t xml:space="preserve">Reproducible. Details and Loom recording: see BUG-WEB-002 in Bug Reports.</t>
  </si>
  <si>
    <t xml:space="preserve">TC-018</t>
  </si>
  <si>
    <t xml:space="preserve">View Category Products</t>
  </si>
  <si>
    <t xml:space="preserve">Site test case #18</t>
  </si>
  <si>
    <t xml:space="preserve">Verify category pages display relevant products.</t>
  </si>
  <si>
    <t xml:space="preserve">TC-019</t>
  </si>
  <si>
    <t xml:space="preserve">View &amp; Cart Brand Products</t>
  </si>
  <si>
    <t xml:space="preserve">Site test case #19</t>
  </si>
  <si>
    <t xml:space="preserve">Verify brand filtering and adding a brand product to the cart.</t>
  </si>
  <si>
    <t xml:space="preserve">TC-020</t>
  </si>
  <si>
    <t xml:space="preserve">Search Products and Verify Cart After Login</t>
  </si>
  <si>
    <t xml:space="preserve">Site test case #20</t>
  </si>
  <si>
    <t xml:space="preserve">Verify searched products and cart behavior across login.</t>
  </si>
  <si>
    <t xml:space="preserve">TC-021</t>
  </si>
  <si>
    <t xml:space="preserve">Add review on product</t>
  </si>
  <si>
    <t xml:space="preserve">Site test case #21</t>
  </si>
  <si>
    <t xml:space="preserve">Verify a product review can be submitted.</t>
  </si>
  <si>
    <t xml:space="preserve">TC-022</t>
  </si>
  <si>
    <t xml:space="preserve">Add to cart from Recommended items</t>
  </si>
  <si>
    <t xml:space="preserve">Site test case #22</t>
  </si>
  <si>
    <t xml:space="preserve">Verify recommended items can be added to the cart.</t>
  </si>
  <si>
    <t xml:space="preserve">TC-023</t>
  </si>
  <si>
    <t xml:space="preserve">Verify address details in checkout page</t>
  </si>
  <si>
    <t xml:space="preserve">Site test case #23</t>
  </si>
  <si>
    <t xml:space="preserve">Verify address details shown during checkout.</t>
  </si>
  <si>
    <t xml:space="preserve">TC-024</t>
  </si>
  <si>
    <t xml:space="preserve">Orders</t>
  </si>
  <si>
    <t xml:space="preserve">Download Invoice after purchase order</t>
  </si>
  <si>
    <t xml:space="preserve">Site test case #24</t>
  </si>
  <si>
    <t xml:space="preserve">Verify invoice download after an order.</t>
  </si>
  <si>
    <t xml:space="preserve">TC-025</t>
  </si>
  <si>
    <t xml:space="preserve">Navigation / UI</t>
  </si>
  <si>
    <t xml:space="preserve">Verify Scroll Up using 'Arrow' button and Scroll Down functionality</t>
  </si>
  <si>
    <t xml:space="preserve">Site test case #25</t>
  </si>
  <si>
    <t xml:space="preserve">Verify scrolling down and the scroll-up arrow.</t>
  </si>
  <si>
    <t xml:space="preserve">TC-026</t>
  </si>
  <si>
    <t xml:space="preserve">Verify Scroll Up without 'Arrow' button and Scroll Down functionality</t>
  </si>
  <si>
    <t xml:space="preserve">Site test case #26</t>
  </si>
  <si>
    <t xml:space="preserve">Verify scrolling to the top without the arrow button.</t>
  </si>
  <si>
    <t xml:space="preserve">API TESTING | POSTMAN</t>
  </si>
  <si>
    <t xml:space="preserve">API Test ID</t>
  </si>
  <si>
    <t xml:space="preserve">HTTP Method</t>
  </si>
  <si>
    <t xml:space="preserve">API Scenario</t>
  </si>
  <si>
    <t xml:space="preserve">Test Objective</t>
  </si>
  <si>
    <t xml:space="preserve">Endpoint</t>
  </si>
  <si>
    <t xml:space="preserve">Request Parameters / Body</t>
  </si>
  <si>
    <t xml:space="preserve">Expected Response</t>
  </si>
  <si>
    <t xml:space="preserve">Actual HTTP Status</t>
  </si>
  <si>
    <t xml:space="preserve">Actual Response / Assertions</t>
  </si>
  <si>
    <t xml:space="preserve">API-001</t>
  </si>
  <si>
    <t xml:space="preserve">GET</t>
  </si>
  <si>
    <t xml:space="preserve">Get All Products List</t>
  </si>
  <si>
    <t xml:space="preserve">API test #1</t>
  </si>
  <si>
    <t xml:space="preserve">Verify the products list endpoint returns product data.</t>
  </si>
  <si>
    <t xml:space="preserve">https://automationexercise.com/api/productsList</t>
  </si>
  <si>
    <t xml:space="preserve">No body</t>
  </si>
  <si>
    <t xml:space="preserve">200 OK; JSON response contains products array.</t>
  </si>
  <si>
    <t xml:space="preserve">Returned responseCode 200 and products array.</t>
  </si>
  <si>
    <t xml:space="preserve">GET request returned product data as expected.</t>
  </si>
  <si>
    <t xml:space="preserve">API-002</t>
  </si>
  <si>
    <t xml:space="preserve">POST</t>
  </si>
  <si>
    <t xml:space="preserve">POST To All Products List</t>
  </si>
  <si>
    <t xml:space="preserve">API test #2</t>
  </si>
  <si>
    <t xml:space="preserve">Check the documented response when POST is used on this endpoint.</t>
  </si>
  <si>
    <t xml:space="preserve">405; request method is not supported.</t>
  </si>
  <si>
    <t xml:space="preserve">responseCode 405; This request method is not supported.</t>
  </si>
  <si>
    <t xml:space="preserve">Expected unsupported-method response.</t>
  </si>
  <si>
    <t xml:space="preserve">Get All Brands List</t>
  </si>
  <si>
    <t xml:space="preserve">API test #3</t>
  </si>
  <si>
    <t xml:space="preserve">Verify the brands list endpoint returns brand data.</t>
  </si>
  <si>
    <t xml:space="preserve">https://automationexercise.com/api/brandsList</t>
  </si>
  <si>
    <t xml:space="preserve">200 OK; JSON response contains brands array.</t>
  </si>
  <si>
    <t xml:space="preserve">Returned responseCode 200 and brands array.</t>
  </si>
  <si>
    <t xml:space="preserve">Brand list returned. Some brand names appear more than once in the response.</t>
  </si>
  <si>
    <t xml:space="preserve">API-004</t>
  </si>
  <si>
    <t xml:space="preserve">PUT</t>
  </si>
  <si>
    <t xml:space="preserve">PUT To All Brands List</t>
  </si>
  <si>
    <t xml:space="preserve">API test #4</t>
  </si>
  <si>
    <t xml:space="preserve">Check the documented response when PUT is used on this endpoint.</t>
  </si>
  <si>
    <t xml:space="preserve">API-005</t>
  </si>
  <si>
    <t xml:space="preserve">POST To Search Product</t>
  </si>
  <si>
    <t xml:space="preserve">API test #5</t>
  </si>
  <si>
    <t xml:space="preserve">Verify product search using the search_product parameter.</t>
  </si>
  <si>
    <t xml:space="preserve">https://automationexercise.com/api/searchProduct</t>
  </si>
  <si>
    <t xml:space="preserve">x-www-form-urlencoded: search_product=top</t>
  </si>
  <si>
    <t xml:space="preserve">200 OK; JSON response contains matching products.</t>
  </si>
  <si>
    <t xml:space="preserve">Returned responseCode 200 and products matching 'top'.</t>
  </si>
  <si>
    <t xml:space="preserve">Initial attempt used key 'search' and returned 400; corrected to 'search_product' and request passed.</t>
  </si>
  <si>
    <t xml:space="preserve">API-006</t>
  </si>
  <si>
    <t xml:space="preserve">POST To Search Product without search_product parameter</t>
  </si>
  <si>
    <t xml:space="preserve">API test #6</t>
  </si>
  <si>
    <t xml:space="preserve">Verify validation when search_product is omitted.</t>
  </si>
  <si>
    <t xml:space="preserve">x-www-form-urlencoded: no parameters</t>
  </si>
  <si>
    <t xml:space="preserve">400; required search_product parameter is missing.</t>
  </si>
  <si>
    <t xml:space="preserve">responseCode 400; search_product parameter is missing in POST request.</t>
  </si>
  <si>
    <t xml:space="preserve">Expected validation response when parameter is omitted.</t>
  </si>
  <si>
    <t xml:space="preserve">API-007</t>
  </si>
  <si>
    <t xml:space="preserve">POST Verify Login with sample credentials (user not found)</t>
  </si>
  <si>
    <t xml:space="preserve">API test #7</t>
  </si>
  <si>
    <t xml:space="preserve">Attempt login with sample credentials. Valid-login behavior is unverified because the sample account does not exist.</t>
  </si>
  <si>
    <t xml:space="preserve">https://automationexercise.com/api/verifyLogin</t>
  </si>
  <si>
    <t xml:space="preserve">x-www-form-urlencoded: email=test@example.com; password=Test123456</t>
  </si>
  <si>
    <t xml:space="preserve">For a valid existing account, login verification should return a successful response.</t>
  </si>
  <si>
    <t xml:space="preserve">responseCode 404; User not found!</t>
  </si>
  <si>
    <t xml:space="preserve">The supplied sample credentials did not belong to an existing account. A valid-login scenario was not verified; use known valid test credentials to complete this case.</t>
  </si>
  <si>
    <t xml:space="preserve">API-008</t>
  </si>
  <si>
    <t xml:space="preserve">POST To Verify Login without email parameter</t>
  </si>
  <si>
    <t xml:space="preserve">API test #8</t>
  </si>
  <si>
    <t xml:space="preserve">Verify validation when email is omitted.</t>
  </si>
  <si>
    <t xml:space="preserve">x-www-form-urlencoded: password=Test123456; email omitted</t>
  </si>
  <si>
    <t xml:space="preserve">400; email or password parameter is missing.</t>
  </si>
  <si>
    <t xml:space="preserve">responseCode 400; email or password parameter is missing in POST request.</t>
  </si>
  <si>
    <t xml:space="preserve">Expected validation response when email is omitted.</t>
  </si>
  <si>
    <t xml:space="preserve">API-009</t>
  </si>
  <si>
    <t xml:space="preserve">DELETE</t>
  </si>
  <si>
    <t xml:space="preserve">DELETE To Verify Login</t>
  </si>
  <si>
    <t xml:space="preserve">API test #9</t>
  </si>
  <si>
    <t xml:space="preserve">Check the documented response when DELETE is used on login verification.</t>
  </si>
  <si>
    <t xml:space="preserve">API-010</t>
  </si>
  <si>
    <t xml:space="preserve">POST To Verify Login with invalid details</t>
  </si>
  <si>
    <t xml:space="preserve">API test #10</t>
  </si>
  <si>
    <t xml:space="preserve">Verify login API behavior with invalid credentials.</t>
  </si>
  <si>
    <t xml:space="preserve">x-www-form-urlencoded: email=invalid_user_123@example.com; password=WrongPassword123</t>
  </si>
  <si>
    <t xml:space="preserve">404; user/account is not found for invalid credentials.</t>
  </si>
  <si>
    <t xml:space="preserve">Expected response for nonexistent user/invalid credentials.</t>
  </si>
  <si>
    <t xml:space="preserve">API-011</t>
  </si>
  <si>
    <t xml:space="preserve">POST To Create/Register User Account</t>
  </si>
  <si>
    <t xml:space="preserve">API test #11</t>
  </si>
  <si>
    <t xml:space="preserve">Verify account creation through the API.</t>
  </si>
  <si>
    <t xml:space="preserve">https://automationexercise.com/api/createAccount</t>
  </si>
  <si>
    <t xml:space="preserve">x-www-form-urlencoded: QA Test User; qa.test.user.2026@example.com; Test123456; remaining account fields supplied</t>
  </si>
  <si>
    <t xml:space="preserve">201; account created.</t>
  </si>
  <si>
    <t xml:space="preserve">responseCode 201; User created!</t>
  </si>
  <si>
    <t xml:space="preserve">A test account was created successfully.</t>
  </si>
  <si>
    <t xml:space="preserve">API-012</t>
  </si>
  <si>
    <t xml:space="preserve">DELETE METHOD To Delete User Account</t>
  </si>
  <si>
    <t xml:space="preserve">API test #12</t>
  </si>
  <si>
    <t xml:space="preserve">Verify account deletion through the API.</t>
  </si>
  <si>
    <t xml:space="preserve">https://automationexercise.com/api/deleteAccount</t>
  </si>
  <si>
    <t xml:space="preserve">x-www-form-urlencoded: email=qa.test.user.2026@example.com; password=Test123456</t>
  </si>
  <si>
    <t xml:space="preserve">200; response message 'Account deleted!'.</t>
  </si>
  <si>
    <t xml:space="preserve">responseCode 200; Account deleted!</t>
  </si>
  <si>
    <t xml:space="preserve">A follow-up GET (API-014) still returned the account. Automation Exercise is a demo learning API with limited account persistence, so this is documented as an observation and not reported as a defect.</t>
  </si>
  <si>
    <t xml:space="preserve">API-013</t>
  </si>
  <si>
    <t xml:space="preserve">PUT METHOD To Update User Account</t>
  </si>
  <si>
    <t xml:space="preserve">API test #13</t>
  </si>
  <si>
    <t xml:space="preserve">Verify account updates through the API.</t>
  </si>
  <si>
    <t xml:space="preserve">https://automationexercise.com/api/updateAccount</t>
  </si>
  <si>
    <t xml:space="preserve">x-www-form-urlencoded: email=qa.test.user.2026@example.com; password=Test123456; updated name and account fields</t>
  </si>
  <si>
    <t xml:space="preserve">Since the account was deleted, 404 Account not found is expected.</t>
  </si>
  <si>
    <t xml:space="preserve">responseCode 404; Account not found!</t>
  </si>
  <si>
    <t xml:space="preserve">Expected response for updating an account that the API reported as deleted.</t>
  </si>
  <si>
    <t xml:space="preserve">API-014</t>
  </si>
  <si>
    <t xml:space="preserve">GET user account detail by email</t>
  </si>
  <si>
    <t xml:space="preserve">API test #14</t>
  </si>
  <si>
    <t xml:space="preserve">Verify account details can be retrieved by email.</t>
  </si>
  <si>
    <t xml:space="preserve">https://automationexercise.com/api/getUserDetailByEmail</t>
  </si>
  <si>
    <t xml:space="preserve">Query parameter: email=qa.test.user.2026@example.com</t>
  </si>
  <si>
    <t xml:space="preserve">200 OK; user details returned for the supplied email.</t>
  </si>
  <si>
    <t xml:space="preserve">responseCode 200; user object returned (id 2488556, QA Test User).</t>
  </si>
  <si>
    <t xml:space="preserve">Returned the account deleted in API-012. Account persistence on the demo API may be limited, so this is documented as an observation and not reported as a defect.</t>
  </si>
  <si>
    <t xml:space="preserve">BUG REPORTS</t>
  </si>
  <si>
    <t xml:space="preserve">BUG-WEB-001  |  Logout does not redirect user to Home page</t>
  </si>
  <si>
    <t xml:space="preserve">Logout does not redirect user to Home page</t>
  </si>
  <si>
    <t xml:space="preserve">Application Area</t>
  </si>
  <si>
    <t xml:space="preserve">Web shop: Authentication / Logout</t>
  </si>
  <si>
    <t xml:space="preserve">Chromium</t>
  </si>
  <si>
    <t xml:space="preserve">Preconditions</t>
  </si>
  <si>
    <t xml:space="preserve">User is logged in to an existing account or has just registered a new account.</t>
  </si>
  <si>
    <t xml:space="preserve">Medium</t>
  </si>
  <si>
    <t xml:space="preserve">P2</t>
  </si>
  <si>
    <t xml:space="preserve">Open</t>
  </si>
  <si>
    <t xml:space="preserve">Reference Test Case</t>
  </si>
  <si>
    <t xml:space="preserve">https://automationexercise.com/test_cases#collapse4</t>
  </si>
  <si>
    <t xml:space="preserve">Related Test Case</t>
  </si>
  <si>
    <t xml:space="preserve">https://www.loom.com/share/739a707672634ec19aed6c72a5b1a24c</t>
  </si>
  <si>
    <t xml:space="preserve">Steps to Reproduce</t>
  </si>
  <si>
    <t xml:space="preserve">1. Open the website.
2. Log in to an existing account or create a new account.
3. Click Logout in the top menu.
4. Observe the page after logout.</t>
  </si>
  <si>
    <t xml:space="preserve">After logout, the user is automatically redirected to the Home page.</t>
  </si>
  <si>
    <t xml:space="preserve">The user is logged out, but the page does not redirect to Home.</t>
  </si>
  <si>
    <t xml:space="preserve">BUG-WEB-002  |  Removed cart items reappear after navigating away and returning</t>
  </si>
  <si>
    <t xml:space="preserve">Removed cart items reappear after navigating away and returning</t>
  </si>
  <si>
    <t xml:space="preserve">Web shop: Shopping Cart</t>
  </si>
  <si>
    <t xml:space="preserve">One or more products have been added to the cart.</t>
  </si>
  <si>
    <t xml:space="preserve">High</t>
  </si>
  <si>
    <t xml:space="preserve">P1</t>
  </si>
  <si>
    <t xml:space="preserve">https://automationexercise.com/test_cases#collapse17</t>
  </si>
  <si>
    <t xml:space="preserve">https://www.loom.com/share/d5828cb78e2a481d930a16ea6f3da6b8</t>
  </si>
  <si>
    <t xml:space="preserve">1. Open the website and add one or more products to Cart.
2. Open Cart.
3. Remove all products.
4. Navigate to another tab, such as Products or Home.
5. Return to Cart.</t>
  </si>
  <si>
    <t xml:space="preserve">Removed products remain removed and do not reappear after navigating away and returning to Cart.</t>
  </si>
  <si>
    <t xml:space="preserve">After returning to Cart, the cart restores the state from before the products were removed.</t>
  </si>
</sst>
</file>

<file path=xl/styles.xml><?xml version="1.0" encoding="utf-8"?>
<styleSheet xmlns="http://schemas.openxmlformats.org/spreadsheetml/2006/main">
  <numFmts count="3">
    <numFmt numFmtId="164" formatCode="General"/>
    <numFmt numFmtId="165" formatCode="General"/>
    <numFmt numFmtId="166" formatCode="0.0%"/>
  </numFmts>
  <fonts count="15">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1F3864"/>
      <name val="Arial"/>
      <family val="0"/>
      <charset val="1"/>
    </font>
    <font>
      <b val="true"/>
      <sz val="10"/>
      <color rgb="FF1F3864"/>
      <name val="Arial"/>
      <family val="0"/>
      <charset val="1"/>
    </font>
    <font>
      <sz val="10"/>
      <name val="Arial"/>
      <family val="0"/>
      <charset val="1"/>
    </font>
    <font>
      <u val="single"/>
      <sz val="10"/>
      <color rgb="FF0563C1"/>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b val="true"/>
      <u val="single"/>
      <sz val="10"/>
      <color rgb="FF0563C1"/>
      <name val="Arial"/>
      <family val="0"/>
      <charset val="1"/>
    </font>
    <font>
      <b val="true"/>
      <sz val="10"/>
      <name val="Arial"/>
      <family val="0"/>
      <charset val="1"/>
    </font>
    <font>
      <b val="true"/>
      <sz val="11"/>
      <color rgb="FFFFFFFF"/>
      <name val="Arial"/>
      <family val="0"/>
      <charset val="1"/>
    </font>
  </fonts>
  <fills count="13">
    <fill>
      <patternFill patternType="none"/>
    </fill>
    <fill>
      <patternFill patternType="gray125"/>
    </fill>
    <fill>
      <patternFill patternType="solid">
        <fgColor rgb="FF1F3864"/>
        <bgColor rgb="FF333333"/>
      </patternFill>
    </fill>
    <fill>
      <patternFill patternType="solid">
        <fgColor rgb="FFDCE6F4"/>
        <bgColor rgb="FFD0E0F5"/>
      </patternFill>
    </fill>
    <fill>
      <patternFill patternType="solid">
        <fgColor rgb="FFF3F6FB"/>
        <bgColor rgb="FFFFFFFF"/>
      </patternFill>
    </fill>
    <fill>
      <patternFill patternType="solid">
        <fgColor rgb="FFFFFFFF"/>
        <bgColor rgb="FFF3F6FB"/>
      </patternFill>
    </fill>
    <fill>
      <patternFill patternType="solid">
        <fgColor rgb="FF2F5597"/>
        <bgColor rgb="FF0563C1"/>
      </patternFill>
    </fill>
    <fill>
      <patternFill patternType="solid">
        <fgColor rgb="FF1B7F79"/>
        <bgColor rgb="FF008080"/>
      </patternFill>
    </fill>
    <fill>
      <patternFill patternType="solid">
        <fgColor rgb="FFD9EAD3"/>
        <bgColor rgb="FFC6EFCE"/>
      </patternFill>
    </fill>
    <fill>
      <patternFill patternType="solid">
        <fgColor rgb="FFFFF2CC"/>
        <bgColor rgb="FFFFE5CC"/>
      </patternFill>
    </fill>
    <fill>
      <patternFill patternType="solid">
        <fgColor rgb="FFD0E0F5"/>
        <bgColor rgb="FFDCE6F4"/>
      </patternFill>
    </fill>
    <fill>
      <patternFill patternType="solid">
        <fgColor rgb="FFF4CCCC"/>
        <bgColor rgb="FFFFC7CE"/>
      </patternFill>
    </fill>
    <fill>
      <patternFill patternType="solid">
        <fgColor rgb="FF9C2B2B"/>
        <bgColor rgb="FF993366"/>
      </patternFill>
    </fill>
  </fills>
  <borders count="3">
    <border diagonalUp="false" diagonalDown="false">
      <left/>
      <right/>
      <top/>
      <bottom/>
      <diagonal/>
    </border>
    <border diagonalUp="false" diagonalDown="false">
      <left/>
      <right/>
      <top/>
      <bottom style="medium">
        <color rgb="FF2F5597"/>
      </bottom>
      <diagonal/>
    </border>
    <border diagonalUp="false" diagonalDown="false">
      <left style="thin">
        <color rgb="FFC9D3E3"/>
      </left>
      <right style="thin">
        <color rgb="FFC9D3E3"/>
      </right>
      <top style="thin">
        <color rgb="FFC9D3E3"/>
      </top>
      <bottom style="thin">
        <color rgb="FFC9D3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1" xfId="0" applyFont="true" applyBorder="true" applyAlignment="true" applyProtection="false">
      <alignment horizontal="general" vertical="center" textRotation="0" wrapText="false" indent="1" shrinkToFit="false"/>
      <protection locked="true" hidden="false"/>
    </xf>
    <xf numFmtId="164" fontId="6" fillId="4" borderId="2" xfId="0" applyFont="true" applyBorder="true" applyAlignment="true" applyProtection="false">
      <alignment horizontal="general" vertical="center" textRotation="0" wrapText="true" indent="1" shrinkToFit="false"/>
      <protection locked="true" hidden="false"/>
    </xf>
    <xf numFmtId="164" fontId="7" fillId="0" borderId="2" xfId="0" applyFont="true" applyBorder="true" applyAlignment="true" applyProtection="false">
      <alignment horizontal="general" vertical="center" textRotation="0" wrapText="true" indent="1" shrinkToFit="false"/>
      <protection locked="true" hidden="false"/>
    </xf>
    <xf numFmtId="164" fontId="8" fillId="0" borderId="2" xfId="0" applyFont="true" applyBorder="true" applyAlignment="true" applyProtection="false">
      <alignment horizontal="general" vertical="center" textRotation="0" wrapText="false" indent="1"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6" fillId="5" borderId="2" xfId="0" applyFont="true" applyBorder="true" applyAlignment="true" applyProtection="false">
      <alignment horizontal="left" vertical="center" textRotation="0" wrapText="false" indent="1" shrinkToFit="false"/>
      <protection locked="true" hidden="false"/>
    </xf>
    <xf numFmtId="165" fontId="10" fillId="5" borderId="2" xfId="0" applyFont="true" applyBorder="true" applyAlignment="true" applyProtection="false">
      <alignment horizontal="center" vertical="center" textRotation="0" wrapText="false" indent="0" shrinkToFit="false"/>
      <protection locked="true" hidden="false"/>
    </xf>
    <xf numFmtId="166" fontId="10" fillId="5" borderId="2"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left" vertical="center" textRotation="0" wrapText="false" indent="1" shrinkToFit="false"/>
      <protection locked="true" hidden="false"/>
    </xf>
    <xf numFmtId="165" fontId="10" fillId="4" borderId="2" xfId="0" applyFont="true" applyBorder="true" applyAlignment="true" applyProtection="false">
      <alignment horizontal="center" vertical="center" textRotation="0" wrapText="false" indent="0" shrinkToFit="false"/>
      <protection locked="true" hidden="false"/>
    </xf>
    <xf numFmtId="166" fontId="10" fillId="4" borderId="2"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false" indent="1" shrinkToFit="false"/>
      <protection locked="true" hidden="false"/>
    </xf>
    <xf numFmtId="165" fontId="11" fillId="3" borderId="2" xfId="0" applyFont="true" applyBorder="true" applyAlignment="true" applyProtection="false">
      <alignment horizontal="center" vertical="center" textRotation="0" wrapText="false" indent="0" shrinkToFit="false"/>
      <protection locked="true" hidden="false"/>
    </xf>
    <xf numFmtId="166" fontId="11" fillId="3" borderId="2"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left" vertical="center" textRotation="0" wrapText="true" indent="1" shrinkToFit="false"/>
      <protection locked="true" hidden="false"/>
    </xf>
    <xf numFmtId="164" fontId="7" fillId="0" borderId="2" xfId="0" applyFont="true" applyBorder="true" applyAlignment="true" applyProtection="false">
      <alignment horizontal="left" vertical="center" textRotation="0" wrapText="true" indent="1"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1" shrinkToFit="false"/>
      <protection locked="true" hidden="false"/>
    </xf>
    <xf numFmtId="164" fontId="7" fillId="4" borderId="2" xfId="0" applyFont="true" applyBorder="true" applyAlignment="true" applyProtection="false">
      <alignment horizontal="left" vertical="center" textRotation="0" wrapText="true" indent="1"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general" vertical="center" textRotation="0" wrapText="false" indent="1" shrinkToFit="false"/>
      <protection locked="true" hidden="false"/>
    </xf>
    <xf numFmtId="165" fontId="13" fillId="3" borderId="2" xfId="0" applyFont="true" applyBorder="true" applyAlignment="true" applyProtection="false">
      <alignment horizontal="center" vertical="center" textRotation="0" wrapText="false" indent="0" shrinkToFit="false"/>
      <protection locked="true" hidden="false"/>
    </xf>
    <xf numFmtId="164" fontId="12" fillId="4" borderId="2" xfId="0" applyFont="true" applyBorder="true" applyAlignment="true" applyProtection="false">
      <alignment horizontal="general" vertical="center" textRotation="0" wrapText="false" indent="1" shrinkToFit="false"/>
      <protection locked="true" hidden="false"/>
    </xf>
    <xf numFmtId="164" fontId="4" fillId="6" borderId="0" xfId="0" applyFont="true" applyBorder="true" applyAlignment="true" applyProtection="false">
      <alignment horizontal="general" vertical="center" textRotation="0" wrapText="false" indent="1"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center" vertical="top" textRotation="0" wrapText="false" indent="0" shrinkToFit="false"/>
      <protection locked="true" hidden="false"/>
    </xf>
    <xf numFmtId="164" fontId="7" fillId="0" borderId="2" xfId="0" applyFont="true" applyBorder="true" applyAlignment="true" applyProtection="false">
      <alignment horizontal="center" vertical="top" textRotation="0" wrapText="true" indent="0" shrinkToFit="false"/>
      <protection locked="true" hidden="false"/>
    </xf>
    <xf numFmtId="164" fontId="6" fillId="4" borderId="2" xfId="0" applyFont="true" applyBorder="true" applyAlignment="true" applyProtection="false">
      <alignment horizontal="center" vertical="top" textRotation="0" wrapText="true" indent="0" shrinkToFit="false"/>
      <protection locked="true" hidden="false"/>
    </xf>
    <xf numFmtId="164" fontId="7" fillId="4" borderId="2" xfId="0" applyFont="true" applyBorder="true" applyAlignment="true" applyProtection="false">
      <alignment horizontal="general" vertical="top" textRotation="0" wrapText="true" indent="0" shrinkToFit="false"/>
      <protection locked="true" hidden="false"/>
    </xf>
    <xf numFmtId="164" fontId="8" fillId="4" borderId="2" xfId="0" applyFont="true" applyBorder="true" applyAlignment="true" applyProtection="false">
      <alignment horizontal="center" vertical="top" textRotation="0" wrapText="false" indent="0" shrinkToFit="false"/>
      <protection locked="true" hidden="false"/>
    </xf>
    <xf numFmtId="164" fontId="7" fillId="4" borderId="2" xfId="0" applyFont="true" applyBorder="true" applyAlignment="true" applyProtection="false">
      <alignment horizontal="center" vertical="top" textRotation="0" wrapText="true" indent="0" shrinkToFit="false"/>
      <protection locked="true" hidden="false"/>
    </xf>
    <xf numFmtId="164" fontId="12" fillId="4" borderId="2" xfId="0" applyFont="true" applyBorder="true" applyAlignment="true" applyProtection="false">
      <alignment horizontal="center" vertical="top" textRotation="0" wrapText="true" indent="0" shrinkToFit="false"/>
      <protection locked="true" hidden="false"/>
    </xf>
    <xf numFmtId="164" fontId="12" fillId="0" borderId="2" xfId="0" applyFont="true" applyBorder="true" applyAlignment="true" applyProtection="false">
      <alignment horizontal="center" vertical="top" textRotation="0" wrapText="true" indent="0" shrinkToFit="false"/>
      <protection locked="true" hidden="false"/>
    </xf>
    <xf numFmtId="164" fontId="4" fillId="7" borderId="0" xfId="0" applyFont="true" applyBorder="true" applyAlignment="true" applyProtection="false">
      <alignment horizontal="general" vertical="center" textRotation="0" wrapText="false" indent="1"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4" fontId="13" fillId="8" borderId="2" xfId="0" applyFont="true" applyBorder="true" applyAlignment="true" applyProtection="false">
      <alignment horizontal="center" vertical="top" textRotation="0" wrapText="true" indent="0" shrinkToFit="false"/>
      <protection locked="true" hidden="false"/>
    </xf>
    <xf numFmtId="164" fontId="13" fillId="9" borderId="2" xfId="0" applyFont="true" applyBorder="true" applyAlignment="true" applyProtection="false">
      <alignment horizontal="center" vertical="top" textRotation="0" wrapText="true" indent="0" shrinkToFit="false"/>
      <protection locked="true" hidden="false"/>
    </xf>
    <xf numFmtId="164" fontId="13" fillId="10" borderId="2" xfId="0" applyFont="true" applyBorder="true" applyAlignment="true" applyProtection="false">
      <alignment horizontal="center" vertical="top" textRotation="0" wrapText="true" indent="0" shrinkToFit="false"/>
      <protection locked="true" hidden="false"/>
    </xf>
    <xf numFmtId="164" fontId="13" fillId="11" borderId="2" xfId="0" applyFont="true" applyBorder="true" applyAlignment="true" applyProtection="false">
      <alignment horizontal="center" vertical="top" textRotation="0" wrapText="true" indent="0" shrinkToFit="false"/>
      <protection locked="true" hidden="false"/>
    </xf>
    <xf numFmtId="164" fontId="4" fillId="12" borderId="0" xfId="0" applyFont="true" applyBorder="true" applyAlignment="true" applyProtection="false">
      <alignment horizontal="general" vertical="center" textRotation="0" wrapText="false" indent="1" shrinkToFit="false"/>
      <protection locked="true" hidden="false"/>
    </xf>
    <xf numFmtId="164" fontId="14" fillId="12" borderId="0" xfId="0" applyFont="true" applyBorder="true" applyAlignment="true" applyProtection="false">
      <alignment horizontal="general" vertical="center" textRotation="0" wrapText="false" indent="1" shrinkToFit="false"/>
      <protection locked="true" hidden="false"/>
    </xf>
    <xf numFmtId="164" fontId="6" fillId="3" borderId="2" xfId="0" applyFont="true" applyBorder="true" applyAlignment="true" applyProtection="false">
      <alignment horizontal="general" vertical="top" textRotation="0" wrapText="tru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left"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ont>
        <name val="Arial"/>
        <charset val="1"/>
        <family val="0"/>
        <b val="1"/>
        <color rgb="FF006100"/>
        <sz val="10"/>
      </font>
    </dxf>
    <dxf>
      <font>
        <name val="Arial"/>
        <charset val="1"/>
        <family val="0"/>
        <b val="1"/>
        <color rgb="FF9C0006"/>
        <sz val="10"/>
      </font>
    </dxf>
    <dxf>
      <font>
        <name val="Arial"/>
        <charset val="1"/>
        <family val="0"/>
        <b val="1"/>
        <color rgb="FF9C5700"/>
        <sz val="10"/>
      </font>
    </dxf>
    <dxf>
      <font>
        <name val="Arial"/>
        <charset val="1"/>
        <family val="0"/>
        <b val="1"/>
        <color rgb="FF9C0006"/>
        <sz val="10"/>
      </font>
      <fill>
        <patternFill>
          <bgColor rgb="FFFFC7CE"/>
        </patternFill>
      </fill>
    </dxf>
    <dxf>
      <font>
        <name val="Arial"/>
        <charset val="1"/>
        <family val="0"/>
        <b val="1"/>
        <color rgb="FF9C5700"/>
        <sz val="10"/>
      </font>
      <fill>
        <patternFill>
          <bgColor rgb="FFFFEB9C"/>
        </patternFill>
      </fill>
    </dxf>
    <dxf>
      <font>
        <name val="Arial"/>
        <charset val="1"/>
        <family val="0"/>
        <b val="1"/>
        <color rgb="FF006100"/>
        <sz val="10"/>
      </font>
      <fill>
        <patternFill>
          <bgColor rgb="FFC6EFCE"/>
        </patternFill>
      </fill>
    </dxf>
    <dxf>
      <font>
        <name val="Arial"/>
        <charset val="1"/>
        <family val="0"/>
        <b val="1"/>
        <color rgb="FF9C4A00"/>
        <sz val="10"/>
      </font>
      <fill>
        <patternFill>
          <bgColor rgb="FFFFE5CC"/>
        </patternFill>
      </fill>
    </dxf>
    <dxf>
      <fill>
        <patternFill patternType="solid">
          <fgColor rgb="FF2F5597"/>
          <bgColor rgb="FF000000"/>
        </patternFill>
      </fill>
    </dxf>
    <dxf>
      <fill>
        <patternFill patternType="solid">
          <fgColor rgb="FFF3F6FB"/>
          <bgColor rgb="FF000000"/>
        </patternFill>
      </fill>
    </dxf>
    <dxf>
      <fill>
        <patternFill patternType="solid">
          <bgColor rgb="FF000000"/>
        </patternFill>
      </fill>
    </dxf>
    <dxf>
      <fill>
        <patternFill patternType="solid">
          <fgColor rgb="FF1F3864"/>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1B7F79"/>
          <bgColor rgb="FF000000"/>
        </patternFill>
      </fill>
    </dxf>
    <dxf>
      <fill>
        <patternFill patternType="solid">
          <fgColor rgb="FFD0E0F5"/>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FF2CC"/>
          <bgColor rgb="FF000000"/>
        </patternFill>
      </fill>
    </dxf>
    <dxf>
      <fill>
        <patternFill patternType="solid">
          <fgColor rgb="FFFFEB9C"/>
          <bgColor rgb="FF000000"/>
        </patternFill>
      </fill>
    </dxf>
    <dxf>
      <fill>
        <patternFill patternType="solid">
          <fgColor rgb="FF9C5700"/>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5700"/>
      <rgbColor rgb="FF800080"/>
      <rgbColor rgb="FF1B7F79"/>
      <rgbColor rgb="FFD0E0F5"/>
      <rgbColor rgb="FF808080"/>
      <rgbColor rgb="FF9999FF"/>
      <rgbColor rgb="FF9C4A00"/>
      <rgbColor rgb="FFFFF2CC"/>
      <rgbColor rgb="FFDCE6F4"/>
      <rgbColor rgb="FF660066"/>
      <rgbColor rgb="FFFF8080"/>
      <rgbColor rgb="FF0563C1"/>
      <rgbColor rgb="FFC9D3E3"/>
      <rgbColor rgb="FF000080"/>
      <rgbColor rgb="FFFF00FF"/>
      <rgbColor rgb="FFFFFF00"/>
      <rgbColor rgb="FF00FFFF"/>
      <rgbColor rgb="FF800080"/>
      <rgbColor rgb="FF800000"/>
      <rgbColor rgb="FF008080"/>
      <rgbColor rgb="FF0000FF"/>
      <rgbColor rgb="FF00CCFF"/>
      <rgbColor rgb="FFF3F6FB"/>
      <rgbColor rgb="FFC6EFCE"/>
      <rgbColor rgb="FFFFEB9C"/>
      <rgbColor rgb="FFD9EAD3"/>
      <rgbColor rgb="FFFFC7CE"/>
      <rgbColor rgb="FFFFE5CC"/>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C2B2B"/>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utomationexercise.com/" TargetMode="External"/><Relationship Id="rId2" Type="http://schemas.openxmlformats.org/officeDocument/2006/relationships/hyperlink" Target="https://automationexercise.com/test_cases" TargetMode="External"/><Relationship Id="rId3" Type="http://schemas.openxmlformats.org/officeDocument/2006/relationships/hyperlink" Target="https://automationexercise.com/api_list" TargetMode="External"/><Relationship Id="rId4" Type="http://schemas.openxmlformats.org/officeDocument/2006/relationships/hyperlink" Target="https://www.loom.com/share/739a707672634ec19aed6c72a5b1a24c" TargetMode="External"/><Relationship Id="rId5" Type="http://schemas.openxmlformats.org/officeDocument/2006/relationships/hyperlink" Target="https://www.loom.com/share/d5828cb78e2a481d930a16ea6f3da6b8"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automationexercise.com/test_cases" TargetMode="External"/><Relationship Id="rId2" Type="http://schemas.openxmlformats.org/officeDocument/2006/relationships/hyperlink" Target="https://automationexercise.com/test_cases" TargetMode="External"/><Relationship Id="rId3" Type="http://schemas.openxmlformats.org/officeDocument/2006/relationships/hyperlink" Target="https://automationexercise.com/test_cases" TargetMode="External"/><Relationship Id="rId4" Type="http://schemas.openxmlformats.org/officeDocument/2006/relationships/hyperlink" Target="https://automationexercise.com/test_cases" TargetMode="External"/><Relationship Id="rId5" Type="http://schemas.openxmlformats.org/officeDocument/2006/relationships/hyperlink" Target="https://automationexercise.com/test_cases" TargetMode="External"/><Relationship Id="rId6" Type="http://schemas.openxmlformats.org/officeDocument/2006/relationships/hyperlink" Target="https://automationexercise.com/test_cases" TargetMode="External"/><Relationship Id="rId7" Type="http://schemas.openxmlformats.org/officeDocument/2006/relationships/hyperlink" Target="https://automationexercise.com/test_cases" TargetMode="External"/><Relationship Id="rId8" Type="http://schemas.openxmlformats.org/officeDocument/2006/relationships/hyperlink" Target="https://automationexercise.com/test_cases" TargetMode="External"/><Relationship Id="rId9" Type="http://schemas.openxmlformats.org/officeDocument/2006/relationships/hyperlink" Target="https://automationexercise.com/test_cases" TargetMode="External"/><Relationship Id="rId10" Type="http://schemas.openxmlformats.org/officeDocument/2006/relationships/hyperlink" Target="https://automationexercise.com/test_cases" TargetMode="External"/><Relationship Id="rId11" Type="http://schemas.openxmlformats.org/officeDocument/2006/relationships/hyperlink" Target="https://automationexercise.com/test_cases" TargetMode="External"/><Relationship Id="rId12" Type="http://schemas.openxmlformats.org/officeDocument/2006/relationships/hyperlink" Target="https://automationexercise.com/test_cases" TargetMode="External"/><Relationship Id="rId13" Type="http://schemas.openxmlformats.org/officeDocument/2006/relationships/hyperlink" Target="https://automationexercise.com/test_cases" TargetMode="External"/><Relationship Id="rId14" Type="http://schemas.openxmlformats.org/officeDocument/2006/relationships/hyperlink" Target="https://automationexercise.com/test_cases" TargetMode="External"/><Relationship Id="rId15" Type="http://schemas.openxmlformats.org/officeDocument/2006/relationships/hyperlink" Target="https://automationexercise.com/test_cases" TargetMode="External"/><Relationship Id="rId16" Type="http://schemas.openxmlformats.org/officeDocument/2006/relationships/hyperlink" Target="https://automationexercise.com/test_cases" TargetMode="External"/><Relationship Id="rId17" Type="http://schemas.openxmlformats.org/officeDocument/2006/relationships/hyperlink" Target="https://automationexercise.com/test_cases" TargetMode="External"/><Relationship Id="rId18" Type="http://schemas.openxmlformats.org/officeDocument/2006/relationships/hyperlink" Target="https://automationexercise.com/test_cases" TargetMode="External"/><Relationship Id="rId19" Type="http://schemas.openxmlformats.org/officeDocument/2006/relationships/hyperlink" Target="https://automationexercise.com/test_cases" TargetMode="External"/><Relationship Id="rId20" Type="http://schemas.openxmlformats.org/officeDocument/2006/relationships/hyperlink" Target="https://automationexercise.com/test_cases" TargetMode="External"/><Relationship Id="rId21" Type="http://schemas.openxmlformats.org/officeDocument/2006/relationships/hyperlink" Target="https://automationexercise.com/test_cases" TargetMode="External"/><Relationship Id="rId22" Type="http://schemas.openxmlformats.org/officeDocument/2006/relationships/hyperlink" Target="https://automationexercise.com/test_cases" TargetMode="External"/><Relationship Id="rId23" Type="http://schemas.openxmlformats.org/officeDocument/2006/relationships/hyperlink" Target="https://automationexercise.com/test_cases" TargetMode="External"/><Relationship Id="rId24" Type="http://schemas.openxmlformats.org/officeDocument/2006/relationships/hyperlink" Target="https://automationexercise.com/test_cases" TargetMode="External"/><Relationship Id="rId25" Type="http://schemas.openxmlformats.org/officeDocument/2006/relationships/hyperlink" Target="https://automationexercise.com/test_cases" TargetMode="External"/><Relationship Id="rId26" Type="http://schemas.openxmlformats.org/officeDocument/2006/relationships/hyperlink" Target="https://automationexercise.com/test_cases" TargetMode="External"/><Relationship Id="rId27"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automationexercise.com/api_list" TargetMode="External"/><Relationship Id="rId2" Type="http://schemas.openxmlformats.org/officeDocument/2006/relationships/hyperlink" Target="https://automationexercise.com/api_list" TargetMode="External"/><Relationship Id="rId3" Type="http://schemas.openxmlformats.org/officeDocument/2006/relationships/hyperlink" Target="https://automationexercise.com/api_list" TargetMode="External"/><Relationship Id="rId4" Type="http://schemas.openxmlformats.org/officeDocument/2006/relationships/hyperlink" Target="https://automationexercise.com/api_list" TargetMode="External"/><Relationship Id="rId5" Type="http://schemas.openxmlformats.org/officeDocument/2006/relationships/hyperlink" Target="https://automationexercise.com/api_list" TargetMode="External"/><Relationship Id="rId6" Type="http://schemas.openxmlformats.org/officeDocument/2006/relationships/hyperlink" Target="https://automationexercise.com/api_list" TargetMode="External"/><Relationship Id="rId7" Type="http://schemas.openxmlformats.org/officeDocument/2006/relationships/hyperlink" Target="https://automationexercise.com/api_list" TargetMode="External"/><Relationship Id="rId8" Type="http://schemas.openxmlformats.org/officeDocument/2006/relationships/hyperlink" Target="https://automationexercise.com/api_list" TargetMode="External"/><Relationship Id="rId9" Type="http://schemas.openxmlformats.org/officeDocument/2006/relationships/hyperlink" Target="https://automationexercise.com/api_list" TargetMode="External"/><Relationship Id="rId10" Type="http://schemas.openxmlformats.org/officeDocument/2006/relationships/hyperlink" Target="https://automationexercise.com/api_list" TargetMode="External"/><Relationship Id="rId11" Type="http://schemas.openxmlformats.org/officeDocument/2006/relationships/hyperlink" Target="https://automationexercise.com/api_list" TargetMode="External"/><Relationship Id="rId12" Type="http://schemas.openxmlformats.org/officeDocument/2006/relationships/hyperlink" Target="https://automationexercise.com/api_list" TargetMode="External"/><Relationship Id="rId13" Type="http://schemas.openxmlformats.org/officeDocument/2006/relationships/hyperlink" Target="https://automationexercise.com/api_list" TargetMode="External"/><Relationship Id="rId14" Type="http://schemas.openxmlformats.org/officeDocument/2006/relationships/hyperlink" Target="https://automationexercise.com/api_list" TargetMode="External"/><Relationship Id="rId15"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automationexercise.com/test_cases" TargetMode="External"/><Relationship Id="rId2" Type="http://schemas.openxmlformats.org/officeDocument/2006/relationships/hyperlink" Target="https://www.loom.com/share/739a707672634ec19aed6c72a5b1a24c" TargetMode="External"/><Relationship Id="rId3" Type="http://schemas.openxmlformats.org/officeDocument/2006/relationships/hyperlink" Target="https://automationexercise.com/test_cases" TargetMode="External"/><Relationship Id="rId4" Type="http://schemas.openxmlformats.org/officeDocument/2006/relationships/hyperlink" Target="https://www.loom.com/share/d5828cb78e2a481d930a16ea6f3da6b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H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7" min="2" style="0" width="14"/>
    <col collapsed="false" customWidth="true" hidden="false" outlineLevel="0" max="8" min="8" style="0" width="22"/>
  </cols>
  <sheetData>
    <row r="1" customFormat="false" ht="33.75" hidden="false" customHeight="true" outlineLevel="0" collapsed="false">
      <c r="A1" s="1" t="s">
        <v>0</v>
      </c>
      <c r="B1" s="1"/>
      <c r="C1" s="1"/>
      <c r="D1" s="1"/>
      <c r="E1" s="1"/>
      <c r="F1" s="1"/>
      <c r="G1" s="1"/>
      <c r="H1" s="1"/>
    </row>
    <row r="3" customFormat="false" ht="24" hidden="false" customHeight="true" outlineLevel="0" collapsed="false">
      <c r="A3" s="2" t="s">
        <v>1</v>
      </c>
      <c r="B3" s="2"/>
      <c r="C3" s="2"/>
      <c r="D3" s="2"/>
      <c r="E3" s="2"/>
      <c r="F3" s="2"/>
      <c r="G3" s="2"/>
      <c r="H3" s="2"/>
    </row>
    <row r="4" customFormat="false" ht="21.75" hidden="false" customHeight="true" outlineLevel="0" collapsed="false">
      <c r="A4" s="3" t="s">
        <v>2</v>
      </c>
      <c r="B4" s="4" t="s">
        <v>3</v>
      </c>
      <c r="C4" s="4"/>
      <c r="D4" s="4"/>
      <c r="E4" s="4"/>
      <c r="F4" s="4"/>
      <c r="G4" s="4"/>
      <c r="H4" s="4"/>
    </row>
    <row r="5" customFormat="false" ht="21.75" hidden="false" customHeight="true" outlineLevel="0" collapsed="false">
      <c r="A5" s="3" t="s">
        <v>4</v>
      </c>
      <c r="B5" s="4" t="s">
        <v>5</v>
      </c>
      <c r="C5" s="4"/>
      <c r="D5" s="4"/>
      <c r="E5" s="4"/>
      <c r="F5" s="4"/>
      <c r="G5" s="4"/>
      <c r="H5" s="4"/>
    </row>
    <row r="6" customFormat="false" ht="21.75" hidden="false" customHeight="true" outlineLevel="0" collapsed="false">
      <c r="A6" s="3" t="s">
        <v>6</v>
      </c>
      <c r="B6" s="5" t="s">
        <v>7</v>
      </c>
      <c r="C6" s="5"/>
      <c r="D6" s="5"/>
      <c r="E6" s="5"/>
      <c r="F6" s="5"/>
      <c r="G6" s="5"/>
      <c r="H6" s="5"/>
    </row>
    <row r="7" customFormat="false" ht="21.75" hidden="false" customHeight="true" outlineLevel="0" collapsed="false">
      <c r="A7" s="3" t="s">
        <v>8</v>
      </c>
      <c r="B7" s="5" t="s">
        <v>9</v>
      </c>
      <c r="C7" s="5"/>
      <c r="D7" s="5"/>
      <c r="E7" s="5"/>
      <c r="F7" s="5"/>
      <c r="G7" s="5"/>
      <c r="H7" s="5"/>
    </row>
    <row r="8" customFormat="false" ht="21.75" hidden="false" customHeight="true" outlineLevel="0" collapsed="false">
      <c r="A8" s="3" t="s">
        <v>10</v>
      </c>
      <c r="B8" s="5" t="s">
        <v>11</v>
      </c>
      <c r="C8" s="5"/>
      <c r="D8" s="5"/>
      <c r="E8" s="5"/>
      <c r="F8" s="5"/>
      <c r="G8" s="5"/>
      <c r="H8" s="5"/>
    </row>
    <row r="9" customFormat="false" ht="21.75" hidden="false" customHeight="true" outlineLevel="0" collapsed="false">
      <c r="A9" s="3" t="s">
        <v>12</v>
      </c>
      <c r="B9" s="4" t="s">
        <v>13</v>
      </c>
      <c r="C9" s="4"/>
      <c r="D9" s="4"/>
      <c r="E9" s="4"/>
      <c r="F9" s="4"/>
      <c r="G9" s="4"/>
      <c r="H9" s="4"/>
    </row>
    <row r="10" customFormat="false" ht="21.75" hidden="false" customHeight="true" outlineLevel="0" collapsed="false">
      <c r="A10" s="3" t="s">
        <v>14</v>
      </c>
      <c r="B10" s="4" t="s">
        <v>15</v>
      </c>
      <c r="C10" s="4"/>
      <c r="D10" s="4"/>
      <c r="E10" s="4"/>
      <c r="F10" s="4"/>
      <c r="G10" s="4"/>
      <c r="H10" s="4"/>
    </row>
    <row r="11" customFormat="false" ht="21.75" hidden="false" customHeight="true" outlineLevel="0" collapsed="false">
      <c r="A11" s="3" t="s">
        <v>16</v>
      </c>
      <c r="B11" s="4" t="s">
        <v>17</v>
      </c>
      <c r="C11" s="4"/>
      <c r="D11" s="4"/>
      <c r="E11" s="4"/>
      <c r="F11" s="4"/>
      <c r="G11" s="4"/>
      <c r="H11" s="4"/>
    </row>
    <row r="12" customFormat="false" ht="21.75" hidden="false" customHeight="true" outlineLevel="0" collapsed="false">
      <c r="A12" s="3" t="s">
        <v>18</v>
      </c>
      <c r="B12" s="4" t="s">
        <v>19</v>
      </c>
      <c r="C12" s="4"/>
      <c r="D12" s="4"/>
      <c r="E12" s="4"/>
      <c r="F12" s="4"/>
      <c r="G12" s="4"/>
      <c r="H12" s="4"/>
    </row>
    <row r="13" customFormat="false" ht="21.75" hidden="false" customHeight="true" outlineLevel="0" collapsed="false">
      <c r="A13" s="3" t="s">
        <v>20</v>
      </c>
      <c r="B13" s="4" t="s">
        <v>21</v>
      </c>
      <c r="C13" s="4"/>
      <c r="D13" s="4"/>
      <c r="E13" s="4"/>
      <c r="F13" s="4"/>
      <c r="G13" s="4"/>
      <c r="H13" s="4"/>
    </row>
    <row r="14" customFormat="false" ht="61.5" hidden="false" customHeight="true" outlineLevel="0" collapsed="false">
      <c r="A14" s="3" t="s">
        <v>22</v>
      </c>
      <c r="B14" s="4" t="s">
        <v>23</v>
      </c>
      <c r="C14" s="4"/>
      <c r="D14" s="4"/>
      <c r="E14" s="4"/>
      <c r="F14" s="4"/>
      <c r="G14" s="4"/>
      <c r="H14" s="4"/>
    </row>
    <row r="16" customFormat="false" ht="24" hidden="false" customHeight="true" outlineLevel="0" collapsed="false">
      <c r="A16" s="2" t="s">
        <v>24</v>
      </c>
      <c r="B16" s="2"/>
      <c r="C16" s="2"/>
      <c r="D16" s="2"/>
      <c r="E16" s="2"/>
      <c r="F16" s="2"/>
      <c r="G16" s="2"/>
      <c r="H16" s="2"/>
    </row>
    <row r="17" customFormat="false" ht="24" hidden="false" customHeight="true" outlineLevel="0" collapsed="false">
      <c r="A17" s="6" t="s">
        <v>25</v>
      </c>
      <c r="B17" s="6" t="s">
        <v>26</v>
      </c>
      <c r="C17" s="6" t="s">
        <v>27</v>
      </c>
      <c r="D17" s="6" t="s">
        <v>28</v>
      </c>
      <c r="E17" s="6" t="s">
        <v>29</v>
      </c>
      <c r="F17" s="6" t="s">
        <v>30</v>
      </c>
    </row>
    <row r="18" customFormat="false" ht="21.75" hidden="false" customHeight="true" outlineLevel="0" collapsed="false">
      <c r="A18" s="7" t="s">
        <v>31</v>
      </c>
      <c r="B18" s="8" t="n">
        <f aca="false">COUNTA('Web Test Cases'!A3:A28)</f>
        <v>26</v>
      </c>
      <c r="C18" s="8" t="n">
        <f aca="false">COUNTIF('Web Test Cases'!G3:G28,"Pass")</f>
        <v>24</v>
      </c>
      <c r="D18" s="8" t="n">
        <f aca="false">COUNTIF('Web Test Cases'!G3:G28,"Fail")</f>
        <v>2</v>
      </c>
      <c r="E18" s="8" t="n">
        <f aca="false">COUNTIF('Web Test Cases'!G3:G28,"Blocked")</f>
        <v>0</v>
      </c>
      <c r="F18" s="9" t="n">
        <f aca="false">IF(B18=0,0,C18/B18)</f>
        <v>0.923076923076923</v>
      </c>
    </row>
    <row r="19" customFormat="false" ht="21.75" hidden="false" customHeight="true" outlineLevel="0" collapsed="false">
      <c r="A19" s="10" t="s">
        <v>32</v>
      </c>
      <c r="B19" s="11" t="n">
        <f aca="false">COUNTA('API Tests'!A3:A16)</f>
        <v>14</v>
      </c>
      <c r="C19" s="11" t="n">
        <f aca="false">COUNTIF('API Tests'!K3:K16,"Pass")</f>
        <v>13</v>
      </c>
      <c r="D19" s="11" t="n">
        <f aca="false">COUNTIF('API Tests'!K3:K16,"Fail")</f>
        <v>0</v>
      </c>
      <c r="E19" s="11" t="n">
        <f aca="false">COUNTIF('API Tests'!K3:K16,"Blocked")</f>
        <v>1</v>
      </c>
      <c r="F19" s="12" t="n">
        <f aca="false">IF(B19=0,0,C19/B19)</f>
        <v>0.928571428571429</v>
      </c>
    </row>
    <row r="20" customFormat="false" ht="21.75" hidden="false" customHeight="true" outlineLevel="0" collapsed="false">
      <c r="A20" s="13" t="s">
        <v>26</v>
      </c>
      <c r="B20" s="14" t="n">
        <f aca="false">SUM(B18:B19)</f>
        <v>40</v>
      </c>
      <c r="C20" s="14" t="n">
        <f aca="false">SUM(C18:C19)</f>
        <v>37</v>
      </c>
      <c r="D20" s="14" t="n">
        <f aca="false">SUM(D18:D19)</f>
        <v>2</v>
      </c>
      <c r="E20" s="14" t="n">
        <f aca="false">SUM(E18:E19)</f>
        <v>1</v>
      </c>
      <c r="F20" s="15" t="n">
        <f aca="false">IF(B20=0,0,C20/B20)</f>
        <v>0.925</v>
      </c>
    </row>
    <row r="22" customFormat="false" ht="24" hidden="false" customHeight="true" outlineLevel="0" collapsed="false">
      <c r="A22" s="2" t="s">
        <v>33</v>
      </c>
      <c r="B22" s="2"/>
      <c r="C22" s="2"/>
      <c r="D22" s="2"/>
      <c r="E22" s="2"/>
      <c r="F22" s="2"/>
      <c r="G22" s="2"/>
      <c r="H22" s="2"/>
    </row>
    <row r="23" customFormat="false" ht="24" hidden="false" customHeight="true" outlineLevel="0" collapsed="false">
      <c r="A23" s="6" t="s">
        <v>34</v>
      </c>
      <c r="B23" s="6" t="s">
        <v>35</v>
      </c>
      <c r="C23" s="6"/>
      <c r="D23" s="6"/>
      <c r="E23" s="6" t="s">
        <v>36</v>
      </c>
      <c r="F23" s="6" t="s">
        <v>37</v>
      </c>
      <c r="G23" s="6" t="s">
        <v>38</v>
      </c>
      <c r="H23" s="6" t="s">
        <v>39</v>
      </c>
    </row>
    <row r="24" customFormat="false" ht="31.5" hidden="false" customHeight="true" outlineLevel="0" collapsed="false">
      <c r="A24" s="16" t="s">
        <v>40</v>
      </c>
      <c r="B24" s="17" t="str">
        <f aca="false">'Bug Reports'!B4</f>
        <v>Logout does not redirect user to Home page</v>
      </c>
      <c r="C24" s="17"/>
      <c r="D24" s="17"/>
      <c r="E24" s="18" t="str">
        <f aca="false">'Bug Reports'!B8</f>
        <v>Medium</v>
      </c>
      <c r="F24" s="18" t="str">
        <f aca="false">'Bug Reports'!B9</f>
        <v>P2</v>
      </c>
      <c r="G24" s="18" t="str">
        <f aca="false">'Bug Reports'!B10</f>
        <v>Open</v>
      </c>
      <c r="H24" s="19" t="s">
        <v>41</v>
      </c>
    </row>
    <row r="25" customFormat="false" ht="31.5" hidden="false" customHeight="true" outlineLevel="0" collapsed="false">
      <c r="A25" s="20" t="s">
        <v>42</v>
      </c>
      <c r="B25" s="21" t="str">
        <f aca="false">'Bug Reports'!B19</f>
        <v>Removed cart items reappear after navigating away and returning</v>
      </c>
      <c r="C25" s="21"/>
      <c r="D25" s="21"/>
      <c r="E25" s="22" t="str">
        <f aca="false">'Bug Reports'!B23</f>
        <v>High</v>
      </c>
      <c r="F25" s="22" t="str">
        <f aca="false">'Bug Reports'!B24</f>
        <v>P1</v>
      </c>
      <c r="G25" s="22" t="str">
        <f aca="false">'Bug Reports'!B25</f>
        <v>Open</v>
      </c>
      <c r="H25" s="23" t="s">
        <v>41</v>
      </c>
    </row>
    <row r="26" customFormat="false" ht="21.75" hidden="false" customHeight="true" outlineLevel="0" collapsed="false">
      <c r="A26" s="24" t="s">
        <v>43</v>
      </c>
      <c r="B26" s="25" t="n">
        <f aca="false">COUNTA(A24:A25)</f>
        <v>2</v>
      </c>
    </row>
    <row r="27" customFormat="false" ht="21.75" hidden="false" customHeight="true" outlineLevel="0" collapsed="false">
      <c r="A27" s="24" t="s">
        <v>44</v>
      </c>
      <c r="B27" s="25" t="n">
        <f aca="false">COUNTIF(G24:G25,"Open*")</f>
        <v>2</v>
      </c>
    </row>
    <row r="29" customFormat="false" ht="24" hidden="false" customHeight="true" outlineLevel="0" collapsed="false">
      <c r="A29" s="2" t="s">
        <v>45</v>
      </c>
      <c r="B29" s="2"/>
      <c r="C29" s="2"/>
      <c r="D29" s="2"/>
      <c r="E29" s="2"/>
      <c r="F29" s="2"/>
      <c r="G29" s="2"/>
      <c r="H29" s="2"/>
    </row>
    <row r="30" customFormat="false" ht="34.5" hidden="false" customHeight="true" outlineLevel="0" collapsed="false">
      <c r="A30" s="26" t="s">
        <v>46</v>
      </c>
      <c r="B30" s="4" t="s">
        <v>47</v>
      </c>
      <c r="C30" s="4"/>
      <c r="D30" s="4"/>
      <c r="E30" s="4"/>
      <c r="F30" s="4"/>
      <c r="G30" s="4"/>
      <c r="H30" s="4"/>
    </row>
    <row r="31" customFormat="false" ht="21.75" hidden="false" customHeight="true" outlineLevel="0" collapsed="false">
      <c r="A31" s="26" t="s">
        <v>48</v>
      </c>
      <c r="B31" s="4" t="s">
        <v>49</v>
      </c>
      <c r="C31" s="4"/>
      <c r="D31" s="4"/>
      <c r="E31" s="4"/>
      <c r="F31" s="4"/>
      <c r="G31" s="4"/>
      <c r="H31" s="4"/>
    </row>
  </sheetData>
  <mergeCells count="21">
    <mergeCell ref="A1:H1"/>
    <mergeCell ref="A3:H3"/>
    <mergeCell ref="B4:H4"/>
    <mergeCell ref="B5:H5"/>
    <mergeCell ref="B6:H6"/>
    <mergeCell ref="B7:H7"/>
    <mergeCell ref="B8:H8"/>
    <mergeCell ref="B9:H9"/>
    <mergeCell ref="B10:H10"/>
    <mergeCell ref="B11:H11"/>
    <mergeCell ref="B12:H12"/>
    <mergeCell ref="B13:H13"/>
    <mergeCell ref="B14:H14"/>
    <mergeCell ref="A16:H16"/>
    <mergeCell ref="A22:H22"/>
    <mergeCell ref="B23:D23"/>
    <mergeCell ref="B24:D24"/>
    <mergeCell ref="B25:D25"/>
    <mergeCell ref="A29:H29"/>
    <mergeCell ref="B30:H30"/>
    <mergeCell ref="B31:H31"/>
  </mergeCells>
  <conditionalFormatting sqref="C18:C20">
    <cfRule type="cellIs" priority="2" operator="greaterThan" aboveAverage="0" equalAverage="0" bottom="0" percent="0" rank="0" text="" dxfId="0">
      <formula>0</formula>
    </cfRule>
  </conditionalFormatting>
  <conditionalFormatting sqref="D18:D20">
    <cfRule type="cellIs" priority="3" operator="greaterThan" aboveAverage="0" equalAverage="0" bottom="0" percent="0" rank="0" text="" dxfId="1">
      <formula>0</formula>
    </cfRule>
  </conditionalFormatting>
  <conditionalFormatting sqref="E18:E20">
    <cfRule type="cellIs" priority="4" operator="greaterThan" aboveAverage="0" equalAverage="0" bottom="0" percent="0" rank="0" text="" dxfId="2">
      <formula>0</formula>
    </cfRule>
  </conditionalFormatting>
  <conditionalFormatting sqref="E24:F25">
    <cfRule type="cellIs" priority="5" operator="equal" aboveAverage="0" equalAverage="0" bottom="0" percent="0" rank="0" text="" dxfId="3">
      <formula>"High"</formula>
    </cfRule>
    <cfRule type="cellIs" priority="6" operator="equal" aboveAverage="0" equalAverage="0" bottom="0" percent="0" rank="0" text="" dxfId="4">
      <formula>"Medium"</formula>
    </cfRule>
    <cfRule type="cellIs" priority="7" operator="equal" aboveAverage="0" equalAverage="0" bottom="0" percent="0" rank="0" text="" dxfId="5">
      <formula>"Low"</formula>
    </cfRule>
    <cfRule type="cellIs" priority="8" operator="equal" aboveAverage="0" equalAverage="0" bottom="0" percent="0" rank="0" text="" dxfId="3">
      <formula>"P1"</formula>
    </cfRule>
    <cfRule type="cellIs" priority="9" operator="equal" aboveAverage="0" equalAverage="0" bottom="0" percent="0" rank="0" text="" dxfId="4">
      <formula>"P2"</formula>
    </cfRule>
    <cfRule type="cellIs" priority="10" operator="equal" aboveAverage="0" equalAverage="0" bottom="0" percent="0" rank="0" text="" dxfId="5">
      <formula>"P3"</formula>
    </cfRule>
  </conditionalFormatting>
  <conditionalFormatting sqref="G24:G25">
    <cfRule type="expression" priority="11" aboveAverage="0" equalAverage="0" bottom="0" percent="0" rank="0" text="" dxfId="6">
      <formula>LEFT(G24,4)="Open"</formula>
    </cfRule>
  </conditionalFormatting>
  <hyperlinks>
    <hyperlink ref="B6" r:id="rId1" display="https://automationexercise.com/"/>
    <hyperlink ref="B7" r:id="rId2" display="https://automationexercise.com/test_cases"/>
    <hyperlink ref="B8" r:id="rId3" display="https://automationexercise.com/api_list"/>
    <hyperlink ref="A24" location="'Bug Reports'!A3" display="BUG-WEB-001"/>
    <hyperlink ref="H24" r:id="rId4" display="Loom recording"/>
    <hyperlink ref="A25" location="'Bug Reports'!A18" display="BUG-WEB-002"/>
    <hyperlink ref="H25" r:id="rId5" display="Loom recording"/>
    <hyperlink ref="A30" location="'API Tests'!A14" display="API-012 / API-014"/>
    <hyperlink ref="A31" location="'API Tests'!A5" display="API-003"/>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8"/>
    <col collapsed="false" customWidth="true" hidden="false" outlineLevel="0" max="3" min="3" style="0" width="42"/>
    <col collapsed="false" customWidth="true" hidden="false" outlineLevel="0" max="4" min="4" style="0" width="17"/>
    <col collapsed="false" customWidth="true" hidden="false" outlineLevel="0" max="5" min="5" style="0" width="44"/>
    <col collapsed="false" customWidth="true" hidden="false" outlineLevel="0" max="6" min="6" style="0" width="46"/>
    <col collapsed="false" customWidth="true" hidden="false" outlineLevel="0" max="8" min="7" style="0" width="15"/>
    <col collapsed="false" customWidth="true" hidden="false" outlineLevel="0" max="9" min="9" style="0" width="40"/>
  </cols>
  <sheetData>
    <row r="1" customFormat="false" ht="33.75" hidden="false" customHeight="true" outlineLevel="0" collapsed="false">
      <c r="A1" s="27" t="s">
        <v>50</v>
      </c>
      <c r="B1" s="27"/>
      <c r="C1" s="27"/>
      <c r="D1" s="27"/>
      <c r="E1" s="27"/>
      <c r="F1" s="27"/>
      <c r="G1" s="27"/>
      <c r="H1" s="27"/>
      <c r="I1" s="27"/>
    </row>
    <row r="2" customFormat="false" ht="30" hidden="false" customHeight="true" outlineLevel="0" collapsed="false">
      <c r="A2" s="28" t="s">
        <v>51</v>
      </c>
      <c r="B2" s="28" t="s">
        <v>52</v>
      </c>
      <c r="C2" s="28" t="s">
        <v>53</v>
      </c>
      <c r="D2" s="28" t="s">
        <v>54</v>
      </c>
      <c r="E2" s="28" t="s">
        <v>55</v>
      </c>
      <c r="F2" s="28" t="s">
        <v>56</v>
      </c>
      <c r="G2" s="28" t="s">
        <v>16</v>
      </c>
      <c r="H2" s="28" t="s">
        <v>57</v>
      </c>
      <c r="I2" s="28" t="s">
        <v>58</v>
      </c>
    </row>
    <row r="3" customFormat="false" ht="31.5" hidden="false" customHeight="true" outlineLevel="0" collapsed="false">
      <c r="A3" s="29" t="s">
        <v>59</v>
      </c>
      <c r="B3" s="30" t="s">
        <v>60</v>
      </c>
      <c r="C3" s="30" t="s">
        <v>61</v>
      </c>
      <c r="D3" s="31" t="s">
        <v>62</v>
      </c>
      <c r="E3" s="30" t="s">
        <v>63</v>
      </c>
      <c r="F3" s="30" t="s">
        <v>64</v>
      </c>
      <c r="G3" s="32" t="s">
        <v>27</v>
      </c>
      <c r="H3" s="32"/>
      <c r="I3" s="30" t="s">
        <v>65</v>
      </c>
    </row>
    <row r="4" customFormat="false" ht="18" hidden="false" customHeight="true" outlineLevel="0" collapsed="false">
      <c r="A4" s="33" t="s">
        <v>66</v>
      </c>
      <c r="B4" s="34" t="s">
        <v>67</v>
      </c>
      <c r="C4" s="34" t="s">
        <v>68</v>
      </c>
      <c r="D4" s="35" t="s">
        <v>69</v>
      </c>
      <c r="E4" s="34" t="s">
        <v>70</v>
      </c>
      <c r="F4" s="34" t="s">
        <v>64</v>
      </c>
      <c r="G4" s="36" t="s">
        <v>27</v>
      </c>
      <c r="H4" s="36"/>
      <c r="I4" s="34" t="s">
        <v>65</v>
      </c>
    </row>
    <row r="5" customFormat="false" ht="31.5" hidden="false" customHeight="true" outlineLevel="0" collapsed="false">
      <c r="A5" s="29" t="s">
        <v>71</v>
      </c>
      <c r="B5" s="30" t="s">
        <v>67</v>
      </c>
      <c r="C5" s="30" t="s">
        <v>72</v>
      </c>
      <c r="D5" s="31" t="s">
        <v>73</v>
      </c>
      <c r="E5" s="30" t="s">
        <v>74</v>
      </c>
      <c r="F5" s="30" t="s">
        <v>64</v>
      </c>
      <c r="G5" s="32" t="s">
        <v>27</v>
      </c>
      <c r="H5" s="32"/>
      <c r="I5" s="30" t="s">
        <v>65</v>
      </c>
    </row>
    <row r="6" customFormat="false" ht="31.5" hidden="false" customHeight="true" outlineLevel="0" collapsed="false">
      <c r="A6" s="33" t="s">
        <v>75</v>
      </c>
      <c r="B6" s="34" t="s">
        <v>67</v>
      </c>
      <c r="C6" s="34" t="s">
        <v>76</v>
      </c>
      <c r="D6" s="35" t="s">
        <v>77</v>
      </c>
      <c r="E6" s="34" t="s">
        <v>78</v>
      </c>
      <c r="F6" s="34" t="s">
        <v>79</v>
      </c>
      <c r="G6" s="36" t="s">
        <v>28</v>
      </c>
      <c r="H6" s="37" t="s">
        <v>40</v>
      </c>
      <c r="I6" s="34" t="s">
        <v>80</v>
      </c>
    </row>
    <row r="7" customFormat="false" ht="31.5" hidden="false" customHeight="true" outlineLevel="0" collapsed="false">
      <c r="A7" s="29" t="s">
        <v>81</v>
      </c>
      <c r="B7" s="30" t="s">
        <v>60</v>
      </c>
      <c r="C7" s="30" t="s">
        <v>82</v>
      </c>
      <c r="D7" s="31" t="s">
        <v>83</v>
      </c>
      <c r="E7" s="30" t="s">
        <v>84</v>
      </c>
      <c r="F7" s="30" t="s">
        <v>64</v>
      </c>
      <c r="G7" s="32" t="s">
        <v>27</v>
      </c>
      <c r="H7" s="32"/>
      <c r="I7" s="30" t="s">
        <v>65</v>
      </c>
    </row>
    <row r="8" customFormat="false" ht="31.5" hidden="false" customHeight="true" outlineLevel="0" collapsed="false">
      <c r="A8" s="33" t="s">
        <v>85</v>
      </c>
      <c r="B8" s="34" t="s">
        <v>86</v>
      </c>
      <c r="C8" s="34" t="s">
        <v>87</v>
      </c>
      <c r="D8" s="35" t="s">
        <v>88</v>
      </c>
      <c r="E8" s="34" t="s">
        <v>89</v>
      </c>
      <c r="F8" s="34" t="s">
        <v>64</v>
      </c>
      <c r="G8" s="36" t="s">
        <v>27</v>
      </c>
      <c r="H8" s="36"/>
      <c r="I8" s="34" t="s">
        <v>65</v>
      </c>
    </row>
    <row r="9" customFormat="false" ht="18" hidden="false" customHeight="true" outlineLevel="0" collapsed="false">
      <c r="A9" s="29" t="s">
        <v>90</v>
      </c>
      <c r="B9" s="30" t="s">
        <v>91</v>
      </c>
      <c r="C9" s="30" t="s">
        <v>92</v>
      </c>
      <c r="D9" s="31" t="s">
        <v>93</v>
      </c>
      <c r="E9" s="30" t="s">
        <v>94</v>
      </c>
      <c r="F9" s="30" t="s">
        <v>64</v>
      </c>
      <c r="G9" s="32" t="s">
        <v>27</v>
      </c>
      <c r="H9" s="32"/>
      <c r="I9" s="30" t="s">
        <v>65</v>
      </c>
    </row>
    <row r="10" customFormat="false" ht="31.5" hidden="false" customHeight="true" outlineLevel="0" collapsed="false">
      <c r="A10" s="33" t="s">
        <v>95</v>
      </c>
      <c r="B10" s="34" t="s">
        <v>96</v>
      </c>
      <c r="C10" s="34" t="s">
        <v>97</v>
      </c>
      <c r="D10" s="35" t="s">
        <v>98</v>
      </c>
      <c r="E10" s="34" t="s">
        <v>99</v>
      </c>
      <c r="F10" s="34" t="s">
        <v>64</v>
      </c>
      <c r="G10" s="36" t="s">
        <v>27</v>
      </c>
      <c r="H10" s="36"/>
      <c r="I10" s="34" t="s">
        <v>65</v>
      </c>
    </row>
    <row r="11" customFormat="false" ht="31.5" hidden="false" customHeight="true" outlineLevel="0" collapsed="false">
      <c r="A11" s="29" t="s">
        <v>100</v>
      </c>
      <c r="B11" s="30" t="s">
        <v>96</v>
      </c>
      <c r="C11" s="30" t="s">
        <v>101</v>
      </c>
      <c r="D11" s="31" t="s">
        <v>102</v>
      </c>
      <c r="E11" s="30" t="s">
        <v>103</v>
      </c>
      <c r="F11" s="30" t="s">
        <v>64</v>
      </c>
      <c r="G11" s="32" t="s">
        <v>27</v>
      </c>
      <c r="H11" s="32"/>
      <c r="I11" s="30" t="s">
        <v>65</v>
      </c>
    </row>
    <row r="12" customFormat="false" ht="18" hidden="false" customHeight="true" outlineLevel="0" collapsed="false">
      <c r="A12" s="33" t="s">
        <v>104</v>
      </c>
      <c r="B12" s="34" t="s">
        <v>105</v>
      </c>
      <c r="C12" s="34" t="s">
        <v>106</v>
      </c>
      <c r="D12" s="35" t="s">
        <v>107</v>
      </c>
      <c r="E12" s="34" t="s">
        <v>108</v>
      </c>
      <c r="F12" s="34" t="s">
        <v>64</v>
      </c>
      <c r="G12" s="36" t="s">
        <v>27</v>
      </c>
      <c r="H12" s="36"/>
      <c r="I12" s="34" t="s">
        <v>65</v>
      </c>
    </row>
    <row r="13" customFormat="false" ht="18" hidden="false" customHeight="true" outlineLevel="0" collapsed="false">
      <c r="A13" s="29" t="s">
        <v>109</v>
      </c>
      <c r="B13" s="30" t="s">
        <v>105</v>
      </c>
      <c r="C13" s="30" t="s">
        <v>110</v>
      </c>
      <c r="D13" s="31" t="s">
        <v>111</v>
      </c>
      <c r="E13" s="30" t="s">
        <v>112</v>
      </c>
      <c r="F13" s="30" t="s">
        <v>64</v>
      </c>
      <c r="G13" s="32" t="s">
        <v>27</v>
      </c>
      <c r="H13" s="32"/>
      <c r="I13" s="30" t="s">
        <v>65</v>
      </c>
    </row>
    <row r="14" customFormat="false" ht="18" hidden="false" customHeight="true" outlineLevel="0" collapsed="false">
      <c r="A14" s="33" t="s">
        <v>113</v>
      </c>
      <c r="B14" s="34" t="s">
        <v>114</v>
      </c>
      <c r="C14" s="34" t="s">
        <v>115</v>
      </c>
      <c r="D14" s="35" t="s">
        <v>116</v>
      </c>
      <c r="E14" s="34" t="s">
        <v>117</v>
      </c>
      <c r="F14" s="34" t="s">
        <v>64</v>
      </c>
      <c r="G14" s="36" t="s">
        <v>27</v>
      </c>
      <c r="H14" s="36"/>
      <c r="I14" s="34" t="s">
        <v>65</v>
      </c>
    </row>
    <row r="15" customFormat="false" ht="18" hidden="false" customHeight="true" outlineLevel="0" collapsed="false">
      <c r="A15" s="29" t="s">
        <v>118</v>
      </c>
      <c r="B15" s="30" t="s">
        <v>114</v>
      </c>
      <c r="C15" s="30" t="s">
        <v>119</v>
      </c>
      <c r="D15" s="31" t="s">
        <v>120</v>
      </c>
      <c r="E15" s="30" t="s">
        <v>121</v>
      </c>
      <c r="F15" s="30" t="s">
        <v>64</v>
      </c>
      <c r="G15" s="32" t="s">
        <v>27</v>
      </c>
      <c r="H15" s="32"/>
      <c r="I15" s="30" t="s">
        <v>65</v>
      </c>
    </row>
    <row r="16" customFormat="false" ht="31.5" hidden="false" customHeight="true" outlineLevel="0" collapsed="false">
      <c r="A16" s="33" t="s">
        <v>122</v>
      </c>
      <c r="B16" s="34" t="s">
        <v>123</v>
      </c>
      <c r="C16" s="34" t="s">
        <v>124</v>
      </c>
      <c r="D16" s="35" t="s">
        <v>125</v>
      </c>
      <c r="E16" s="34" t="s">
        <v>126</v>
      </c>
      <c r="F16" s="34" t="s">
        <v>64</v>
      </c>
      <c r="G16" s="36" t="s">
        <v>27</v>
      </c>
      <c r="H16" s="36"/>
      <c r="I16" s="34" t="s">
        <v>65</v>
      </c>
    </row>
    <row r="17" customFormat="false" ht="31.5" hidden="false" customHeight="true" outlineLevel="0" collapsed="false">
      <c r="A17" s="29" t="s">
        <v>127</v>
      </c>
      <c r="B17" s="30" t="s">
        <v>123</v>
      </c>
      <c r="C17" s="30" t="s">
        <v>128</v>
      </c>
      <c r="D17" s="31" t="s">
        <v>129</v>
      </c>
      <c r="E17" s="30" t="s">
        <v>130</v>
      </c>
      <c r="F17" s="30" t="s">
        <v>64</v>
      </c>
      <c r="G17" s="32" t="s">
        <v>27</v>
      </c>
      <c r="H17" s="32"/>
      <c r="I17" s="30" t="s">
        <v>65</v>
      </c>
    </row>
    <row r="18" customFormat="false" ht="18" hidden="false" customHeight="true" outlineLevel="0" collapsed="false">
      <c r="A18" s="33" t="s">
        <v>131</v>
      </c>
      <c r="B18" s="34" t="s">
        <v>123</v>
      </c>
      <c r="C18" s="34" t="s">
        <v>132</v>
      </c>
      <c r="D18" s="35" t="s">
        <v>133</v>
      </c>
      <c r="E18" s="34" t="s">
        <v>134</v>
      </c>
      <c r="F18" s="34" t="s">
        <v>64</v>
      </c>
      <c r="G18" s="36" t="s">
        <v>27</v>
      </c>
      <c r="H18" s="36"/>
      <c r="I18" s="34" t="s">
        <v>65</v>
      </c>
    </row>
    <row r="19" customFormat="false" ht="45" hidden="false" customHeight="true" outlineLevel="0" collapsed="false">
      <c r="A19" s="29" t="s">
        <v>135</v>
      </c>
      <c r="B19" s="30" t="s">
        <v>114</v>
      </c>
      <c r="C19" s="30" t="s">
        <v>136</v>
      </c>
      <c r="D19" s="31" t="s">
        <v>137</v>
      </c>
      <c r="E19" s="30" t="s">
        <v>138</v>
      </c>
      <c r="F19" s="30" t="s">
        <v>139</v>
      </c>
      <c r="G19" s="32" t="s">
        <v>28</v>
      </c>
      <c r="H19" s="38" t="s">
        <v>42</v>
      </c>
      <c r="I19" s="30" t="s">
        <v>140</v>
      </c>
    </row>
    <row r="20" customFormat="false" ht="31.5" hidden="false" customHeight="true" outlineLevel="0" collapsed="false">
      <c r="A20" s="33" t="s">
        <v>141</v>
      </c>
      <c r="B20" s="34" t="s">
        <v>96</v>
      </c>
      <c r="C20" s="34" t="s">
        <v>142</v>
      </c>
      <c r="D20" s="35" t="s">
        <v>143</v>
      </c>
      <c r="E20" s="34" t="s">
        <v>144</v>
      </c>
      <c r="F20" s="34" t="s">
        <v>64</v>
      </c>
      <c r="G20" s="36" t="s">
        <v>27</v>
      </c>
      <c r="H20" s="36"/>
      <c r="I20" s="34" t="s">
        <v>65</v>
      </c>
    </row>
    <row r="21" customFormat="false" ht="31.5" hidden="false" customHeight="true" outlineLevel="0" collapsed="false">
      <c r="A21" s="29" t="s">
        <v>145</v>
      </c>
      <c r="B21" s="30" t="s">
        <v>96</v>
      </c>
      <c r="C21" s="30" t="s">
        <v>146</v>
      </c>
      <c r="D21" s="31" t="s">
        <v>147</v>
      </c>
      <c r="E21" s="30" t="s">
        <v>148</v>
      </c>
      <c r="F21" s="30" t="s">
        <v>64</v>
      </c>
      <c r="G21" s="32" t="s">
        <v>27</v>
      </c>
      <c r="H21" s="32"/>
      <c r="I21" s="30" t="s">
        <v>65</v>
      </c>
    </row>
    <row r="22" customFormat="false" ht="31.5" hidden="false" customHeight="true" outlineLevel="0" collapsed="false">
      <c r="A22" s="33" t="s">
        <v>149</v>
      </c>
      <c r="B22" s="34" t="s">
        <v>114</v>
      </c>
      <c r="C22" s="34" t="s">
        <v>150</v>
      </c>
      <c r="D22" s="35" t="s">
        <v>151</v>
      </c>
      <c r="E22" s="34" t="s">
        <v>152</v>
      </c>
      <c r="F22" s="34" t="s">
        <v>64</v>
      </c>
      <c r="G22" s="36" t="s">
        <v>27</v>
      </c>
      <c r="H22" s="36"/>
      <c r="I22" s="34" t="s">
        <v>65</v>
      </c>
    </row>
    <row r="23" customFormat="false" ht="18" hidden="false" customHeight="true" outlineLevel="0" collapsed="false">
      <c r="A23" s="29" t="s">
        <v>153</v>
      </c>
      <c r="B23" s="30" t="s">
        <v>96</v>
      </c>
      <c r="C23" s="30" t="s">
        <v>154</v>
      </c>
      <c r="D23" s="31" t="s">
        <v>155</v>
      </c>
      <c r="E23" s="30" t="s">
        <v>156</v>
      </c>
      <c r="F23" s="30" t="s">
        <v>64</v>
      </c>
      <c r="G23" s="32" t="s">
        <v>27</v>
      </c>
      <c r="H23" s="32"/>
      <c r="I23" s="30" t="s">
        <v>65</v>
      </c>
    </row>
    <row r="24" customFormat="false" ht="31.5" hidden="false" customHeight="true" outlineLevel="0" collapsed="false">
      <c r="A24" s="33" t="s">
        <v>157</v>
      </c>
      <c r="B24" s="34" t="s">
        <v>114</v>
      </c>
      <c r="C24" s="34" t="s">
        <v>158</v>
      </c>
      <c r="D24" s="35" t="s">
        <v>159</v>
      </c>
      <c r="E24" s="34" t="s">
        <v>160</v>
      </c>
      <c r="F24" s="34" t="s">
        <v>64</v>
      </c>
      <c r="G24" s="36" t="s">
        <v>27</v>
      </c>
      <c r="H24" s="36"/>
      <c r="I24" s="34" t="s">
        <v>65</v>
      </c>
    </row>
    <row r="25" customFormat="false" ht="31.5" hidden="false" customHeight="true" outlineLevel="0" collapsed="false">
      <c r="A25" s="29" t="s">
        <v>161</v>
      </c>
      <c r="B25" s="30" t="s">
        <v>123</v>
      </c>
      <c r="C25" s="30" t="s">
        <v>162</v>
      </c>
      <c r="D25" s="31" t="s">
        <v>163</v>
      </c>
      <c r="E25" s="30" t="s">
        <v>164</v>
      </c>
      <c r="F25" s="30" t="s">
        <v>64</v>
      </c>
      <c r="G25" s="32" t="s">
        <v>27</v>
      </c>
      <c r="H25" s="32"/>
      <c r="I25" s="30" t="s">
        <v>65</v>
      </c>
    </row>
    <row r="26" customFormat="false" ht="18" hidden="false" customHeight="true" outlineLevel="0" collapsed="false">
      <c r="A26" s="33" t="s">
        <v>165</v>
      </c>
      <c r="B26" s="34" t="s">
        <v>166</v>
      </c>
      <c r="C26" s="34" t="s">
        <v>167</v>
      </c>
      <c r="D26" s="35" t="s">
        <v>168</v>
      </c>
      <c r="E26" s="34" t="s">
        <v>169</v>
      </c>
      <c r="F26" s="34" t="s">
        <v>64</v>
      </c>
      <c r="G26" s="36" t="s">
        <v>27</v>
      </c>
      <c r="H26" s="36"/>
      <c r="I26" s="34" t="s">
        <v>65</v>
      </c>
    </row>
    <row r="27" customFormat="false" ht="31.5" hidden="false" customHeight="true" outlineLevel="0" collapsed="false">
      <c r="A27" s="29" t="s">
        <v>170</v>
      </c>
      <c r="B27" s="30" t="s">
        <v>171</v>
      </c>
      <c r="C27" s="30" t="s">
        <v>172</v>
      </c>
      <c r="D27" s="31" t="s">
        <v>173</v>
      </c>
      <c r="E27" s="30" t="s">
        <v>174</v>
      </c>
      <c r="F27" s="30" t="s">
        <v>64</v>
      </c>
      <c r="G27" s="32" t="s">
        <v>27</v>
      </c>
      <c r="H27" s="32"/>
      <c r="I27" s="30" t="s">
        <v>65</v>
      </c>
    </row>
    <row r="28" customFormat="false" ht="31.5" hidden="false" customHeight="true" outlineLevel="0" collapsed="false">
      <c r="A28" s="33" t="s">
        <v>175</v>
      </c>
      <c r="B28" s="34" t="s">
        <v>171</v>
      </c>
      <c r="C28" s="34" t="s">
        <v>176</v>
      </c>
      <c r="D28" s="35" t="s">
        <v>177</v>
      </c>
      <c r="E28" s="34" t="s">
        <v>178</v>
      </c>
      <c r="F28" s="34" t="s">
        <v>64</v>
      </c>
      <c r="G28" s="36" t="s">
        <v>27</v>
      </c>
      <c r="H28" s="36"/>
      <c r="I28" s="34" t="s">
        <v>65</v>
      </c>
    </row>
  </sheetData>
  <autoFilter ref="A2:I28"/>
  <mergeCells count="1">
    <mergeCell ref="A1:I1"/>
  </mergeCells>
  <conditionalFormatting sqref="G3:G28">
    <cfRule type="cellIs" priority="2" operator="equal" aboveAverage="0" equalAverage="0" bottom="0" percent="0" rank="0" text="" dxfId="5">
      <formula>"Pass"</formula>
    </cfRule>
    <cfRule type="cellIs" priority="3" operator="equal" aboveAverage="0" equalAverage="0" bottom="0" percent="0" rank="0" text="" dxfId="3">
      <formula>"Fail"</formula>
    </cfRule>
    <cfRule type="cellIs" priority="4" operator="equal" aboveAverage="0" equalAverage="0" bottom="0" percent="0" rank="0" text="" dxfId="4">
      <formula>"Blocked"</formula>
    </cfRule>
  </conditionalFormatting>
  <dataValidations count="1">
    <dataValidation allowBlank="false" errorStyle="stop" operator="between" showDropDown="false" showErrorMessage="false" showInputMessage="false" sqref="G3:G28" type="list">
      <formula1>"Pass,Fail,Blocked,Not Run"</formula1>
      <formula2>0</formula2>
    </dataValidation>
  </dataValidations>
  <hyperlinks>
    <hyperlink ref="D3" r:id="rId1" location="collapse1" display="Site test case #1"/>
    <hyperlink ref="D4" r:id="rId2" location="collapse2" display="Site test case #2"/>
    <hyperlink ref="D5" r:id="rId3" location="collapse3" display="Site test case #3"/>
    <hyperlink ref="D6" r:id="rId4" location="collapse4" display="Site test case #4"/>
    <hyperlink ref="H6" location="'Bug Reports'!A3" display="BUG-WEB-001"/>
    <hyperlink ref="D7" r:id="rId5" location="collapse5" display="Site test case #5"/>
    <hyperlink ref="D8" r:id="rId6" location="collapse6" display="Site test case #6"/>
    <hyperlink ref="D9" r:id="rId7" location="collapse7" display="Site test case #7"/>
    <hyperlink ref="D10" r:id="rId8" location="collapse8" display="Site test case #8"/>
    <hyperlink ref="D11" r:id="rId9" location="collapse9" display="Site test case #9"/>
    <hyperlink ref="D12" r:id="rId10" location="collapse10" display="Site test case #10"/>
    <hyperlink ref="D13" r:id="rId11" location="collapse11" display="Site test case #11"/>
    <hyperlink ref="D14" r:id="rId12" location="collapse12" display="Site test case #12"/>
    <hyperlink ref="D15" r:id="rId13" location="collapse13" display="Site test case #13"/>
    <hyperlink ref="D16" r:id="rId14" location="collapse14" display="Site test case #14"/>
    <hyperlink ref="D17" r:id="rId15" location="collapse15" display="Site test case #15"/>
    <hyperlink ref="D18" r:id="rId16" location="collapse16" display="Site test case #16"/>
    <hyperlink ref="D19" r:id="rId17" location="collapse17" display="Site test case #17"/>
    <hyperlink ref="H19" location="'Bug Reports'!A18" display="BUG-WEB-002"/>
    <hyperlink ref="D20" r:id="rId18" location="collapse18" display="Site test case #18"/>
    <hyperlink ref="D21" r:id="rId19" location="collapse19" display="Site test case #19"/>
    <hyperlink ref="D22" r:id="rId20" location="collapse20" display="Site test case #20"/>
    <hyperlink ref="D23" r:id="rId21" location="collapse21" display="Site test case #21"/>
    <hyperlink ref="D24" r:id="rId22" location="collapse22" display="Site test case #22"/>
    <hyperlink ref="D25" r:id="rId23" location="collapse23" display="Site test case #23"/>
    <hyperlink ref="D26" r:id="rId24" location="collapse24" display="Site test case #24"/>
    <hyperlink ref="D27" r:id="rId25" location="collapse25" display="Site test case #25"/>
    <hyperlink ref="D28" r:id="rId26" location="collapse26" display="Site test case #26"/>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79"/>
    <pageSetUpPr fitToPage="tru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34"/>
    <col collapsed="false" customWidth="true" hidden="false" outlineLevel="0" max="4" min="4" style="0" width="14"/>
    <col collapsed="false" customWidth="true" hidden="false" outlineLevel="0" max="5" min="5" style="0" width="38"/>
    <col collapsed="false" customWidth="true" hidden="false" outlineLevel="0" max="6" min="6" style="0" width="42"/>
    <col collapsed="false" customWidth="true" hidden="false" outlineLevel="0" max="7" min="7" style="0" width="40"/>
    <col collapsed="false" customWidth="true" hidden="false" outlineLevel="0" max="8" min="8" style="0" width="38"/>
    <col collapsed="false" customWidth="true" hidden="false" outlineLevel="0" max="9" min="9" style="0" width="12"/>
    <col collapsed="false" customWidth="true" hidden="false" outlineLevel="0" max="10" min="10" style="0" width="44"/>
    <col collapsed="false" customWidth="true" hidden="false" outlineLevel="0" max="11" min="11" style="0" width="14"/>
    <col collapsed="false" customWidth="true" hidden="false" outlineLevel="0" max="12" min="12" style="0" width="52"/>
  </cols>
  <sheetData>
    <row r="1" customFormat="false" ht="33.75" hidden="false" customHeight="true" outlineLevel="0" collapsed="false">
      <c r="A1" s="39" t="s">
        <v>179</v>
      </c>
      <c r="B1" s="39"/>
      <c r="C1" s="39"/>
      <c r="D1" s="39"/>
      <c r="E1" s="39"/>
      <c r="F1" s="39"/>
      <c r="G1" s="39"/>
      <c r="H1" s="39"/>
      <c r="I1" s="39"/>
      <c r="J1" s="39"/>
      <c r="K1" s="39"/>
      <c r="L1" s="39"/>
    </row>
    <row r="2" customFormat="false" ht="30" hidden="false" customHeight="true" outlineLevel="0" collapsed="false">
      <c r="A2" s="40" t="s">
        <v>180</v>
      </c>
      <c r="B2" s="40" t="s">
        <v>181</v>
      </c>
      <c r="C2" s="40" t="s">
        <v>182</v>
      </c>
      <c r="D2" s="40" t="s">
        <v>54</v>
      </c>
      <c r="E2" s="40" t="s">
        <v>183</v>
      </c>
      <c r="F2" s="40" t="s">
        <v>184</v>
      </c>
      <c r="G2" s="40" t="s">
        <v>185</v>
      </c>
      <c r="H2" s="40" t="s">
        <v>186</v>
      </c>
      <c r="I2" s="40" t="s">
        <v>187</v>
      </c>
      <c r="J2" s="40" t="s">
        <v>188</v>
      </c>
      <c r="K2" s="40" t="s">
        <v>16</v>
      </c>
      <c r="L2" s="40" t="s">
        <v>58</v>
      </c>
    </row>
    <row r="3" customFormat="false" ht="31.5" hidden="false" customHeight="true" outlineLevel="0" collapsed="false">
      <c r="A3" s="29" t="s">
        <v>189</v>
      </c>
      <c r="B3" s="41" t="s">
        <v>190</v>
      </c>
      <c r="C3" s="30" t="s">
        <v>191</v>
      </c>
      <c r="D3" s="31" t="s">
        <v>192</v>
      </c>
      <c r="E3" s="30" t="s">
        <v>193</v>
      </c>
      <c r="F3" s="30" t="s">
        <v>194</v>
      </c>
      <c r="G3" s="30" t="s">
        <v>195</v>
      </c>
      <c r="H3" s="30" t="s">
        <v>196</v>
      </c>
      <c r="I3" s="32" t="n">
        <v>200</v>
      </c>
      <c r="J3" s="30" t="s">
        <v>197</v>
      </c>
      <c r="K3" s="32" t="s">
        <v>27</v>
      </c>
      <c r="L3" s="30" t="s">
        <v>198</v>
      </c>
    </row>
    <row r="4" customFormat="false" ht="31.5" hidden="false" customHeight="true" outlineLevel="0" collapsed="false">
      <c r="A4" s="33" t="s">
        <v>199</v>
      </c>
      <c r="B4" s="42" t="s">
        <v>200</v>
      </c>
      <c r="C4" s="34" t="s">
        <v>201</v>
      </c>
      <c r="D4" s="35" t="s">
        <v>202</v>
      </c>
      <c r="E4" s="34" t="s">
        <v>203</v>
      </c>
      <c r="F4" s="34" t="s">
        <v>194</v>
      </c>
      <c r="G4" s="34" t="s">
        <v>195</v>
      </c>
      <c r="H4" s="34" t="s">
        <v>204</v>
      </c>
      <c r="I4" s="36" t="n">
        <v>405</v>
      </c>
      <c r="J4" s="34" t="s">
        <v>205</v>
      </c>
      <c r="K4" s="36" t="s">
        <v>27</v>
      </c>
      <c r="L4" s="34" t="s">
        <v>206</v>
      </c>
    </row>
    <row r="5" customFormat="false" ht="31.5" hidden="false" customHeight="true" outlineLevel="0" collapsed="false">
      <c r="A5" s="29" t="s">
        <v>48</v>
      </c>
      <c r="B5" s="41" t="s">
        <v>190</v>
      </c>
      <c r="C5" s="30" t="s">
        <v>207</v>
      </c>
      <c r="D5" s="31" t="s">
        <v>208</v>
      </c>
      <c r="E5" s="30" t="s">
        <v>209</v>
      </c>
      <c r="F5" s="30" t="s">
        <v>210</v>
      </c>
      <c r="G5" s="30" t="s">
        <v>195</v>
      </c>
      <c r="H5" s="30" t="s">
        <v>211</v>
      </c>
      <c r="I5" s="32" t="n">
        <v>200</v>
      </c>
      <c r="J5" s="30" t="s">
        <v>212</v>
      </c>
      <c r="K5" s="32" t="s">
        <v>27</v>
      </c>
      <c r="L5" s="30" t="s">
        <v>213</v>
      </c>
    </row>
    <row r="6" customFormat="false" ht="31.5" hidden="false" customHeight="true" outlineLevel="0" collapsed="false">
      <c r="A6" s="33" t="s">
        <v>214</v>
      </c>
      <c r="B6" s="43" t="s">
        <v>215</v>
      </c>
      <c r="C6" s="34" t="s">
        <v>216</v>
      </c>
      <c r="D6" s="35" t="s">
        <v>217</v>
      </c>
      <c r="E6" s="34" t="s">
        <v>218</v>
      </c>
      <c r="F6" s="34" t="s">
        <v>210</v>
      </c>
      <c r="G6" s="34" t="s">
        <v>195</v>
      </c>
      <c r="H6" s="34" t="s">
        <v>204</v>
      </c>
      <c r="I6" s="36" t="n">
        <v>405</v>
      </c>
      <c r="J6" s="34" t="s">
        <v>205</v>
      </c>
      <c r="K6" s="36" t="s">
        <v>27</v>
      </c>
      <c r="L6" s="34" t="s">
        <v>206</v>
      </c>
    </row>
    <row r="7" customFormat="false" ht="31.5" hidden="false" customHeight="true" outlineLevel="0" collapsed="false">
      <c r="A7" s="29" t="s">
        <v>219</v>
      </c>
      <c r="B7" s="42" t="s">
        <v>200</v>
      </c>
      <c r="C7" s="30" t="s">
        <v>220</v>
      </c>
      <c r="D7" s="31" t="s">
        <v>221</v>
      </c>
      <c r="E7" s="30" t="s">
        <v>222</v>
      </c>
      <c r="F7" s="30" t="s">
        <v>223</v>
      </c>
      <c r="G7" s="30" t="s">
        <v>224</v>
      </c>
      <c r="H7" s="30" t="s">
        <v>225</v>
      </c>
      <c r="I7" s="32" t="n">
        <v>200</v>
      </c>
      <c r="J7" s="30" t="s">
        <v>226</v>
      </c>
      <c r="K7" s="32" t="s">
        <v>27</v>
      </c>
      <c r="L7" s="30" t="s">
        <v>227</v>
      </c>
    </row>
    <row r="8" customFormat="false" ht="31.5" hidden="false" customHeight="true" outlineLevel="0" collapsed="false">
      <c r="A8" s="33" t="s">
        <v>228</v>
      </c>
      <c r="B8" s="42" t="s">
        <v>200</v>
      </c>
      <c r="C8" s="34" t="s">
        <v>229</v>
      </c>
      <c r="D8" s="35" t="s">
        <v>230</v>
      </c>
      <c r="E8" s="34" t="s">
        <v>231</v>
      </c>
      <c r="F8" s="34" t="s">
        <v>223</v>
      </c>
      <c r="G8" s="34" t="s">
        <v>232</v>
      </c>
      <c r="H8" s="34" t="s">
        <v>233</v>
      </c>
      <c r="I8" s="36" t="n">
        <v>400</v>
      </c>
      <c r="J8" s="34" t="s">
        <v>234</v>
      </c>
      <c r="K8" s="36" t="s">
        <v>27</v>
      </c>
      <c r="L8" s="34" t="s">
        <v>235</v>
      </c>
    </row>
    <row r="9" customFormat="false" ht="58.5" hidden="false" customHeight="true" outlineLevel="0" collapsed="false">
      <c r="A9" s="29" t="s">
        <v>236</v>
      </c>
      <c r="B9" s="42" t="s">
        <v>200</v>
      </c>
      <c r="C9" s="30" t="s">
        <v>237</v>
      </c>
      <c r="D9" s="31" t="s">
        <v>238</v>
      </c>
      <c r="E9" s="30" t="s">
        <v>239</v>
      </c>
      <c r="F9" s="30" t="s">
        <v>240</v>
      </c>
      <c r="G9" s="30" t="s">
        <v>241</v>
      </c>
      <c r="H9" s="30" t="s">
        <v>242</v>
      </c>
      <c r="I9" s="32" t="n">
        <v>404</v>
      </c>
      <c r="J9" s="30" t="s">
        <v>243</v>
      </c>
      <c r="K9" s="32" t="s">
        <v>29</v>
      </c>
      <c r="L9" s="30" t="s">
        <v>244</v>
      </c>
    </row>
    <row r="10" customFormat="false" ht="31.5" hidden="false" customHeight="true" outlineLevel="0" collapsed="false">
      <c r="A10" s="33" t="s">
        <v>245</v>
      </c>
      <c r="B10" s="42" t="s">
        <v>200</v>
      </c>
      <c r="C10" s="34" t="s">
        <v>246</v>
      </c>
      <c r="D10" s="35" t="s">
        <v>247</v>
      </c>
      <c r="E10" s="34" t="s">
        <v>248</v>
      </c>
      <c r="F10" s="34" t="s">
        <v>240</v>
      </c>
      <c r="G10" s="34" t="s">
        <v>249</v>
      </c>
      <c r="H10" s="34" t="s">
        <v>250</v>
      </c>
      <c r="I10" s="36" t="n">
        <v>400</v>
      </c>
      <c r="J10" s="34" t="s">
        <v>251</v>
      </c>
      <c r="K10" s="36" t="s">
        <v>27</v>
      </c>
      <c r="L10" s="34" t="s">
        <v>252</v>
      </c>
    </row>
    <row r="11" customFormat="false" ht="31.5" hidden="false" customHeight="true" outlineLevel="0" collapsed="false">
      <c r="A11" s="29" t="s">
        <v>253</v>
      </c>
      <c r="B11" s="44" t="s">
        <v>254</v>
      </c>
      <c r="C11" s="30" t="s">
        <v>255</v>
      </c>
      <c r="D11" s="31" t="s">
        <v>256</v>
      </c>
      <c r="E11" s="30" t="s">
        <v>257</v>
      </c>
      <c r="F11" s="30" t="s">
        <v>240</v>
      </c>
      <c r="G11" s="30" t="s">
        <v>195</v>
      </c>
      <c r="H11" s="30" t="s">
        <v>204</v>
      </c>
      <c r="I11" s="32" t="n">
        <v>405</v>
      </c>
      <c r="J11" s="30" t="s">
        <v>205</v>
      </c>
      <c r="K11" s="32" t="s">
        <v>27</v>
      </c>
      <c r="L11" s="30" t="s">
        <v>206</v>
      </c>
    </row>
    <row r="12" customFormat="false" ht="45" hidden="false" customHeight="true" outlineLevel="0" collapsed="false">
      <c r="A12" s="33" t="s">
        <v>258</v>
      </c>
      <c r="B12" s="42" t="s">
        <v>200</v>
      </c>
      <c r="C12" s="34" t="s">
        <v>259</v>
      </c>
      <c r="D12" s="35" t="s">
        <v>260</v>
      </c>
      <c r="E12" s="34" t="s">
        <v>261</v>
      </c>
      <c r="F12" s="34" t="s">
        <v>240</v>
      </c>
      <c r="G12" s="34" t="s">
        <v>262</v>
      </c>
      <c r="H12" s="34" t="s">
        <v>263</v>
      </c>
      <c r="I12" s="36" t="n">
        <v>404</v>
      </c>
      <c r="J12" s="34" t="s">
        <v>243</v>
      </c>
      <c r="K12" s="36" t="s">
        <v>27</v>
      </c>
      <c r="L12" s="34" t="s">
        <v>264</v>
      </c>
    </row>
    <row r="13" customFormat="false" ht="45" hidden="false" customHeight="true" outlineLevel="0" collapsed="false">
      <c r="A13" s="29" t="s">
        <v>265</v>
      </c>
      <c r="B13" s="42" t="s">
        <v>200</v>
      </c>
      <c r="C13" s="30" t="s">
        <v>266</v>
      </c>
      <c r="D13" s="31" t="s">
        <v>267</v>
      </c>
      <c r="E13" s="30" t="s">
        <v>268</v>
      </c>
      <c r="F13" s="30" t="s">
        <v>269</v>
      </c>
      <c r="G13" s="30" t="s">
        <v>270</v>
      </c>
      <c r="H13" s="30" t="s">
        <v>271</v>
      </c>
      <c r="I13" s="32" t="n">
        <v>201</v>
      </c>
      <c r="J13" s="30" t="s">
        <v>272</v>
      </c>
      <c r="K13" s="32" t="s">
        <v>27</v>
      </c>
      <c r="L13" s="30" t="s">
        <v>273</v>
      </c>
    </row>
    <row r="14" customFormat="false" ht="58.5" hidden="false" customHeight="true" outlineLevel="0" collapsed="false">
      <c r="A14" s="33" t="s">
        <v>274</v>
      </c>
      <c r="B14" s="44" t="s">
        <v>254</v>
      </c>
      <c r="C14" s="34" t="s">
        <v>275</v>
      </c>
      <c r="D14" s="35" t="s">
        <v>276</v>
      </c>
      <c r="E14" s="34" t="s">
        <v>277</v>
      </c>
      <c r="F14" s="34" t="s">
        <v>278</v>
      </c>
      <c r="G14" s="34" t="s">
        <v>279</v>
      </c>
      <c r="H14" s="34" t="s">
        <v>280</v>
      </c>
      <c r="I14" s="36" t="n">
        <v>200</v>
      </c>
      <c r="J14" s="34" t="s">
        <v>281</v>
      </c>
      <c r="K14" s="36" t="s">
        <v>27</v>
      </c>
      <c r="L14" s="34" t="s">
        <v>282</v>
      </c>
    </row>
    <row r="15" customFormat="false" ht="45" hidden="false" customHeight="true" outlineLevel="0" collapsed="false">
      <c r="A15" s="29" t="s">
        <v>283</v>
      </c>
      <c r="B15" s="43" t="s">
        <v>215</v>
      </c>
      <c r="C15" s="30" t="s">
        <v>284</v>
      </c>
      <c r="D15" s="31" t="s">
        <v>285</v>
      </c>
      <c r="E15" s="30" t="s">
        <v>286</v>
      </c>
      <c r="F15" s="30" t="s">
        <v>287</v>
      </c>
      <c r="G15" s="30" t="s">
        <v>288</v>
      </c>
      <c r="H15" s="30" t="s">
        <v>289</v>
      </c>
      <c r="I15" s="32" t="n">
        <v>404</v>
      </c>
      <c r="J15" s="30" t="s">
        <v>290</v>
      </c>
      <c r="K15" s="32" t="s">
        <v>27</v>
      </c>
      <c r="L15" s="30" t="s">
        <v>291</v>
      </c>
    </row>
    <row r="16" customFormat="false" ht="58.5" hidden="false" customHeight="true" outlineLevel="0" collapsed="false">
      <c r="A16" s="33" t="s">
        <v>292</v>
      </c>
      <c r="B16" s="41" t="s">
        <v>190</v>
      </c>
      <c r="C16" s="34" t="s">
        <v>293</v>
      </c>
      <c r="D16" s="35" t="s">
        <v>294</v>
      </c>
      <c r="E16" s="34" t="s">
        <v>295</v>
      </c>
      <c r="F16" s="34" t="s">
        <v>296</v>
      </c>
      <c r="G16" s="34" t="s">
        <v>297</v>
      </c>
      <c r="H16" s="34" t="s">
        <v>298</v>
      </c>
      <c r="I16" s="36" t="n">
        <v>200</v>
      </c>
      <c r="J16" s="34" t="s">
        <v>299</v>
      </c>
      <c r="K16" s="36" t="s">
        <v>27</v>
      </c>
      <c r="L16" s="34" t="s">
        <v>300</v>
      </c>
    </row>
  </sheetData>
  <autoFilter ref="A2:L16"/>
  <mergeCells count="1">
    <mergeCell ref="A1:L1"/>
  </mergeCells>
  <conditionalFormatting sqref="K3:K16">
    <cfRule type="cellIs" priority="2" operator="equal" aboveAverage="0" equalAverage="0" bottom="0" percent="0" rank="0" text="" dxfId="5">
      <formula>"Pass"</formula>
    </cfRule>
    <cfRule type="cellIs" priority="3" operator="equal" aboveAverage="0" equalAverage="0" bottom="0" percent="0" rank="0" text="" dxfId="3">
      <formula>"Fail"</formula>
    </cfRule>
    <cfRule type="cellIs" priority="4" operator="equal" aboveAverage="0" equalAverage="0" bottom="0" percent="0" rank="0" text="" dxfId="4">
      <formula>"Blocked"</formula>
    </cfRule>
  </conditionalFormatting>
  <dataValidations count="1">
    <dataValidation allowBlank="false" errorStyle="stop" operator="between" showDropDown="false" showErrorMessage="false" showInputMessage="false" sqref="K3:K16" type="list">
      <formula1>"Pass,Fail,Blocked,Not Run"</formula1>
      <formula2>0</formula2>
    </dataValidation>
  </dataValidations>
  <hyperlinks>
    <hyperlink ref="D3" r:id="rId1" location="collapse1" display="API test #1"/>
    <hyperlink ref="D4" r:id="rId2" location="collapse2" display="API test #2"/>
    <hyperlink ref="D5" r:id="rId3" location="collapse3" display="API test #3"/>
    <hyperlink ref="D6" r:id="rId4" location="collapse4" display="API test #4"/>
    <hyperlink ref="D7" r:id="rId5" location="collapse5" display="API test #5"/>
    <hyperlink ref="D8" r:id="rId6" location="collapse6" display="API test #6"/>
    <hyperlink ref="D9" r:id="rId7" location="collapse7" display="API test #7"/>
    <hyperlink ref="D10" r:id="rId8" location="collapse8" display="API test #8"/>
    <hyperlink ref="D11" r:id="rId9" location="collapse9" display="API test #9"/>
    <hyperlink ref="D12" r:id="rId10" location="collapse10" display="API test #10"/>
    <hyperlink ref="D13" r:id="rId11" location="collapse11" display="API test #11"/>
    <hyperlink ref="D14" r:id="rId12" location="collapse12" display="API test #12"/>
    <hyperlink ref="D15" r:id="rId13" location="collapse13" display="API test #13"/>
    <hyperlink ref="D16" r:id="rId14" location="collapse14" display="API test #14"/>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B2B"/>
    <pageSetUpPr fitToPage="true"/>
  </sheetPr>
  <dimension ref="A1:B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5"/>
  </cols>
  <sheetData>
    <row r="1" customFormat="false" ht="33.75" hidden="false" customHeight="true" outlineLevel="0" collapsed="false">
      <c r="A1" s="45" t="s">
        <v>301</v>
      </c>
      <c r="B1" s="45"/>
    </row>
    <row r="3" customFormat="false" ht="25.5" hidden="false" customHeight="true" outlineLevel="0" collapsed="false">
      <c r="A3" s="46" t="s">
        <v>302</v>
      </c>
      <c r="B3" s="46"/>
    </row>
    <row r="4" customFormat="false" ht="18" hidden="false" customHeight="true" outlineLevel="0" collapsed="false">
      <c r="A4" s="47" t="s">
        <v>35</v>
      </c>
      <c r="B4" s="48" t="s">
        <v>303</v>
      </c>
    </row>
    <row r="5" customFormat="false" ht="18" hidden="false" customHeight="true" outlineLevel="0" collapsed="false">
      <c r="A5" s="47" t="s">
        <v>304</v>
      </c>
      <c r="B5" s="30" t="s">
        <v>305</v>
      </c>
    </row>
    <row r="6" customFormat="false" ht="18" hidden="false" customHeight="true" outlineLevel="0" collapsed="false">
      <c r="A6" s="47" t="s">
        <v>14</v>
      </c>
      <c r="B6" s="30" t="s">
        <v>306</v>
      </c>
    </row>
    <row r="7" customFormat="false" ht="18" hidden="false" customHeight="true" outlineLevel="0" collapsed="false">
      <c r="A7" s="47" t="s">
        <v>307</v>
      </c>
      <c r="B7" s="30" t="s">
        <v>308</v>
      </c>
    </row>
    <row r="8" customFormat="false" ht="18" hidden="false" customHeight="true" outlineLevel="0" collapsed="false">
      <c r="A8" s="47" t="s">
        <v>36</v>
      </c>
      <c r="B8" s="49" t="s">
        <v>309</v>
      </c>
    </row>
    <row r="9" customFormat="false" ht="18" hidden="false" customHeight="true" outlineLevel="0" collapsed="false">
      <c r="A9" s="47" t="s">
        <v>37</v>
      </c>
      <c r="B9" s="49" t="s">
        <v>310</v>
      </c>
    </row>
    <row r="10" customFormat="false" ht="18" hidden="false" customHeight="true" outlineLevel="0" collapsed="false">
      <c r="A10" s="47" t="s">
        <v>38</v>
      </c>
      <c r="B10" s="49" t="s">
        <v>311</v>
      </c>
    </row>
    <row r="11" customFormat="false" ht="18" hidden="false" customHeight="true" outlineLevel="0" collapsed="false">
      <c r="A11" s="47" t="s">
        <v>312</v>
      </c>
      <c r="B11" s="50" t="s">
        <v>313</v>
      </c>
    </row>
    <row r="12" customFormat="false" ht="18" hidden="false" customHeight="true" outlineLevel="0" collapsed="false">
      <c r="A12" s="47" t="s">
        <v>314</v>
      </c>
      <c r="B12" s="50" t="s">
        <v>75</v>
      </c>
    </row>
    <row r="13" customFormat="false" ht="18" hidden="false" customHeight="true" outlineLevel="0" collapsed="false">
      <c r="A13" s="47" t="s">
        <v>39</v>
      </c>
      <c r="B13" s="50" t="s">
        <v>315</v>
      </c>
    </row>
    <row r="14" customFormat="false" ht="58.5" hidden="false" customHeight="true" outlineLevel="0" collapsed="false">
      <c r="A14" s="47" t="s">
        <v>316</v>
      </c>
      <c r="B14" s="30" t="s">
        <v>317</v>
      </c>
    </row>
    <row r="15" customFormat="false" ht="18" hidden="false" customHeight="true" outlineLevel="0" collapsed="false">
      <c r="A15" s="47" t="s">
        <v>55</v>
      </c>
      <c r="B15" s="30" t="s">
        <v>318</v>
      </c>
    </row>
    <row r="16" customFormat="false" ht="18" hidden="false" customHeight="true" outlineLevel="0" collapsed="false">
      <c r="A16" s="47" t="s">
        <v>56</v>
      </c>
      <c r="B16" s="30" t="s">
        <v>319</v>
      </c>
    </row>
    <row r="18" customFormat="false" ht="25.5" hidden="false" customHeight="true" outlineLevel="0" collapsed="false">
      <c r="A18" s="46" t="s">
        <v>320</v>
      </c>
      <c r="B18" s="46"/>
    </row>
    <row r="19" customFormat="false" ht="18" hidden="false" customHeight="true" outlineLevel="0" collapsed="false">
      <c r="A19" s="47" t="s">
        <v>35</v>
      </c>
      <c r="B19" s="48" t="s">
        <v>321</v>
      </c>
    </row>
    <row r="20" customFormat="false" ht="18" hidden="false" customHeight="true" outlineLevel="0" collapsed="false">
      <c r="A20" s="47" t="s">
        <v>304</v>
      </c>
      <c r="B20" s="30" t="s">
        <v>322</v>
      </c>
    </row>
    <row r="21" customFormat="false" ht="18" hidden="false" customHeight="true" outlineLevel="0" collapsed="false">
      <c r="A21" s="47" t="s">
        <v>14</v>
      </c>
      <c r="B21" s="30" t="s">
        <v>306</v>
      </c>
    </row>
    <row r="22" customFormat="false" ht="18" hidden="false" customHeight="true" outlineLevel="0" collapsed="false">
      <c r="A22" s="47" t="s">
        <v>307</v>
      </c>
      <c r="B22" s="30" t="s">
        <v>323</v>
      </c>
    </row>
    <row r="23" customFormat="false" ht="18" hidden="false" customHeight="true" outlineLevel="0" collapsed="false">
      <c r="A23" s="47" t="s">
        <v>36</v>
      </c>
      <c r="B23" s="49" t="s">
        <v>324</v>
      </c>
    </row>
    <row r="24" customFormat="false" ht="18" hidden="false" customHeight="true" outlineLevel="0" collapsed="false">
      <c r="A24" s="47" t="s">
        <v>37</v>
      </c>
      <c r="B24" s="49" t="s">
        <v>325</v>
      </c>
    </row>
    <row r="25" customFormat="false" ht="18" hidden="false" customHeight="true" outlineLevel="0" collapsed="false">
      <c r="A25" s="47" t="s">
        <v>38</v>
      </c>
      <c r="B25" s="49" t="s">
        <v>311</v>
      </c>
    </row>
    <row r="26" customFormat="false" ht="18" hidden="false" customHeight="true" outlineLevel="0" collapsed="false">
      <c r="A26" s="47" t="s">
        <v>312</v>
      </c>
      <c r="B26" s="50" t="s">
        <v>326</v>
      </c>
    </row>
    <row r="27" customFormat="false" ht="18" hidden="false" customHeight="true" outlineLevel="0" collapsed="false">
      <c r="A27" s="47" t="s">
        <v>314</v>
      </c>
      <c r="B27" s="50" t="s">
        <v>135</v>
      </c>
    </row>
    <row r="28" customFormat="false" ht="18" hidden="false" customHeight="true" outlineLevel="0" collapsed="false">
      <c r="A28" s="47" t="s">
        <v>39</v>
      </c>
      <c r="B28" s="50" t="s">
        <v>327</v>
      </c>
    </row>
    <row r="29" customFormat="false" ht="72" hidden="false" customHeight="true" outlineLevel="0" collapsed="false">
      <c r="A29" s="47" t="s">
        <v>316</v>
      </c>
      <c r="B29" s="30" t="s">
        <v>328</v>
      </c>
    </row>
    <row r="30" customFormat="false" ht="18" hidden="false" customHeight="true" outlineLevel="0" collapsed="false">
      <c r="A30" s="47" t="s">
        <v>55</v>
      </c>
      <c r="B30" s="30" t="s">
        <v>329</v>
      </c>
    </row>
    <row r="31" customFormat="false" ht="18" hidden="false" customHeight="true" outlineLevel="0" collapsed="false">
      <c r="A31" s="47" t="s">
        <v>56</v>
      </c>
      <c r="B31" s="30" t="s">
        <v>330</v>
      </c>
    </row>
  </sheetData>
  <mergeCells count="3">
    <mergeCell ref="A1:B1"/>
    <mergeCell ref="A3:B3"/>
    <mergeCell ref="A18:B18"/>
  </mergeCells>
  <conditionalFormatting sqref="B8:B9">
    <cfRule type="cellIs" priority="2" operator="equal" aboveAverage="0" equalAverage="0" bottom="0" percent="0" rank="0" text="" dxfId="3">
      <formula>"High"</formula>
    </cfRule>
    <cfRule type="cellIs" priority="3" operator="equal" aboveAverage="0" equalAverage="0" bottom="0" percent="0" rank="0" text="" dxfId="4">
      <formula>"Medium"</formula>
    </cfRule>
    <cfRule type="cellIs" priority="4" operator="equal" aboveAverage="0" equalAverage="0" bottom="0" percent="0" rank="0" text="" dxfId="5">
      <formula>"Low"</formula>
    </cfRule>
    <cfRule type="cellIs" priority="5" operator="equal" aboveAverage="0" equalAverage="0" bottom="0" percent="0" rank="0" text="" dxfId="3">
      <formula>"P1"</formula>
    </cfRule>
    <cfRule type="cellIs" priority="6" operator="equal" aboveAverage="0" equalAverage="0" bottom="0" percent="0" rank="0" text="" dxfId="4">
      <formula>"P2"</formula>
    </cfRule>
    <cfRule type="cellIs" priority="7" operator="equal" aboveAverage="0" equalAverage="0" bottom="0" percent="0" rank="0" text="" dxfId="5">
      <formula>"P3"</formula>
    </cfRule>
  </conditionalFormatting>
  <conditionalFormatting sqref="B10">
    <cfRule type="expression" priority="8" aboveAverage="0" equalAverage="0" bottom="0" percent="0" rank="0" text="" dxfId="6">
      <formula>LEFT(B10,4)="Open"</formula>
    </cfRule>
  </conditionalFormatting>
  <conditionalFormatting sqref="B23:B24">
    <cfRule type="cellIs" priority="9" operator="equal" aboveAverage="0" equalAverage="0" bottom="0" percent="0" rank="0" text="" dxfId="3">
      <formula>"High"</formula>
    </cfRule>
    <cfRule type="cellIs" priority="10" operator="equal" aboveAverage="0" equalAverage="0" bottom="0" percent="0" rank="0" text="" dxfId="4">
      <formula>"Medium"</formula>
    </cfRule>
    <cfRule type="cellIs" priority="11" operator="equal" aboveAverage="0" equalAverage="0" bottom="0" percent="0" rank="0" text="" dxfId="5">
      <formula>"Low"</formula>
    </cfRule>
    <cfRule type="cellIs" priority="12" operator="equal" aboveAverage="0" equalAverage="0" bottom="0" percent="0" rank="0" text="" dxfId="3">
      <formula>"P1"</formula>
    </cfRule>
    <cfRule type="cellIs" priority="13" operator="equal" aboveAverage="0" equalAverage="0" bottom="0" percent="0" rank="0" text="" dxfId="4">
      <formula>"P2"</formula>
    </cfRule>
    <cfRule type="cellIs" priority="14" operator="equal" aboveAverage="0" equalAverage="0" bottom="0" percent="0" rank="0" text="" dxfId="5">
      <formula>"P3"</formula>
    </cfRule>
  </conditionalFormatting>
  <conditionalFormatting sqref="B25">
    <cfRule type="expression" priority="15" aboveAverage="0" equalAverage="0" bottom="0" percent="0" rank="0" text="" dxfId="6">
      <formula>LEFT(B25,4)="Open"</formula>
    </cfRule>
  </conditionalFormatting>
  <dataValidations count="3">
    <dataValidation allowBlank="false" errorStyle="stop" operator="between" showDropDown="false" showErrorMessage="false" showInputMessage="false" sqref="B8 B23" type="list">
      <formula1>"High,Medium,Low"</formula1>
      <formula2>0</formula2>
    </dataValidation>
    <dataValidation allowBlank="false" errorStyle="stop" operator="between" showDropDown="false" showErrorMessage="false" showInputMessage="false" sqref="B9 B24" type="list">
      <formula1>"P1,P2,P3"</formula1>
      <formula2>0</formula2>
    </dataValidation>
    <dataValidation allowBlank="false" errorStyle="stop" operator="between" showDropDown="false" showErrorMessage="false" showInputMessage="false" sqref="B10 B25" type="list">
      <formula1>"Open,Open - needs retest,In Progress,Fixed,Closed"</formula1>
      <formula2>0</formula2>
    </dataValidation>
  </dataValidations>
  <hyperlinks>
    <hyperlink ref="B11" r:id="rId1" location="collapse4" display="https://automationexercise.com/test_cases#collapse4"/>
    <hyperlink ref="B12" location="'Web Test Cases'!A6" display="TC-004"/>
    <hyperlink ref="B13" r:id="rId2" display="https://www.loom.com/share/739a707672634ec19aed6c72a5b1a24c"/>
    <hyperlink ref="B26" r:id="rId3" location="collapse17" display="https://automationexercise.com/test_cases#collapse17"/>
    <hyperlink ref="B27" location="'Web Test Cases'!A19" display="TC-017"/>
    <hyperlink ref="B28" r:id="rId4" display="https://www.loom.com/share/d5828cb78e2a481d930a16ea6f3da6b8"/>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2026-10-19T14:15:04Z</dcterms:created>
  <dc:creator>openpyxl</dc:creator>
  <dc:description/>
  <dc:language>en-US</dc:language>
  <cp:lastModifiedBy/>
  <dcterms:modified xsi:type="dcterms:W3CDTF">2026-10-19T14:15:04Z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